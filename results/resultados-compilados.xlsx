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ia-me" sheetId="1" r:id="rId1"/>
    <sheet name="Fig1 estabelecimento" sheetId="2" r:id="rId2"/>
    <sheet name="Fig2 CPU" sheetId="3" r:id="rId3"/>
    <sheet name="Fig3 memoria" sheetId="4" r:id="rId4"/>
    <sheet name="Fig4 entrega-perda" sheetId="5" r:id="rId5"/>
    <sheet name="Fig5 estab-RTT" sheetId="6" r:id="rId6"/>
    <sheet name="Campanha principal" sheetId="7" r:id="rId7"/>
    <sheet name="Baseline em claro" sheetId="8" r:id="rId8"/>
    <sheet name="Varredura de perda" sheetId="9" r:id="rId9"/>
    <sheet name="Varredura de atraso" sheetId="10" r:id="rId10"/>
  </sheets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0"/>
      <name val="Arial"/>
    </font>
    <font>
      <b/>
      <sz val="10"/>
      <color rgb="FFFFFFFF"/>
      <name val="Arial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0" fontId="2" fillId="0" borderId="0" xfId="0" applyFont="1"/>
    <xf numFmtId="0" fontId="0" fillId="0" borderId="0" xfId="0" applyAlignment="1">
      <alignment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4.5"/>
  <cols>
    <col min="1" max="1" width="104" customWidth="1"/>
  </cols>
  <sheetData>
    <row r="1">
      <c r="A1" s="5" t="inlineStr">
        <is>
          <t xml:space="preserve">Resultados compilados do testbed de perfis de segurança por classe de aplicação UAV</t>
        </is>
      </c>
    </row>
    <row r="2">
      <c r="A2" s="6"/>
    </row>
    <row r="3">
      <c r="A3" s="6" t="inlineStr">
        <is>
          <t xml:space="preserve">Gerado por scripts/planilha_resultados.py a partir dos resumo.csv das campanhas. Não editar à mão:</t>
        </is>
      </c>
    </row>
    <row r="4">
      <c r="A4" s="6" t="inlineStr">
        <is>
          <t xml:space="preserve">rode o script de novo depois de qualquer campanha nova.</t>
        </is>
      </c>
    </row>
    <row r="5">
      <c r="A5" s="6"/>
    </row>
    <row r="6">
      <c r="A6" s="6" t="inlineStr">
        <is>
          <t xml:space="preserve">CAMPANHAS (os diretórios estão em results/, fora do controle de versão pelo tamanho):</t>
        </is>
      </c>
    </row>
    <row r="7">
      <c r="A7" s="6" t="inlineStr">
        <is>
          <t xml:space="preserve">  principal, 3 condições x 4 canais x 10 repetições .... campaign-20260915T121452Z-ad89a84</t>
        </is>
      </c>
    </row>
    <row r="8">
      <c r="A8" s="6" t="inlineStr">
        <is>
          <t xml:space="preserve">  baseline em claro, 3 condições x 4 canais x 5 reps ... campaign-20260916T124934Z-3717e9a</t>
        </is>
      </c>
    </row>
    <row r="9">
      <c r="A9" s="6" t="inlineStr">
        <is>
          <t xml:space="preserve">  varredura de atraso, 5 pontos x 5 reps ............... campaign-20260916T112433Z-3717e9a</t>
        </is>
      </c>
    </row>
    <row r="10">
      <c r="A10" s="6" t="inlineStr">
        <is>
          <t xml:space="preserve">  varredura de perda, 6 pontos x 5 reps ................ campaign-20260916T142149Z-3717e9a</t>
        </is>
      </c>
    </row>
    <row r="11">
      <c r="A11" s="6" t="inlineStr">
        <is>
          <t xml:space="preserve">                                                        campaign-20260916T182845Z-606a0af (loss-20, bulk de 1 MiB)</t>
        </is>
      </c>
    </row>
    <row r="12">
      <c r="A12" s="6"/>
    </row>
    <row r="13">
      <c r="A13" s="6" t="inlineStr">
        <is>
          <t xml:space="preserve">ABAS:</t>
        </is>
      </c>
    </row>
    <row r="14">
      <c r="A14" s="6" t="inlineStr">
        <is>
          <t xml:space="preserve">  Fig1..Fig5 ......... exatamente os números que cada figura do artigo desenha.</t>
        </is>
      </c>
    </row>
    <row r="15">
      <c r="A15" s="6" t="inlineStr">
        <is>
          <t xml:space="preserve">  Campanha principal . resumo.csv completo das três condições, unidades convertidas.</t>
        </is>
      </c>
    </row>
    <row r="16">
      <c r="A16" s="6" t="inlineStr">
        <is>
          <t xml:space="preserve">  Baseline em claro .. o mesmo para os canais sem segurança.</t>
        </is>
      </c>
    </row>
    <row r="17">
      <c r="A17" s="6" t="inlineStr">
        <is>
          <t xml:space="preserve">  Varredura de perda / Varredura de atraso ... idem para as duas varreduras.</t>
        </is>
      </c>
    </row>
    <row r="18">
      <c r="A18" s="6"/>
    </row>
    <row r="19">
      <c r="A19" s="6" t="inlineStr">
        <is>
          <t xml:space="preserve">UNIDADES: os resumo.csv gravam tempo em NANOSSEGUNDOS, embora os nomes das colunas digam</t>
        </is>
      </c>
    </row>
    <row r="20">
      <c r="A20" s="6" t="inlineStr">
        <is>
          <t xml:space="preserve">_ms e _us. A conversão é feita aqui e o cabeçalho de cada coluna traz a unidade de verdade.</t>
        </is>
      </c>
    </row>
    <row r="21">
      <c r="A21" s="6" t="inlineStr">
        <is>
          <t xml:space="preserve">A agregação entre repetições é MEDIANA, não média: latência tem cauda longa.</t>
        </is>
      </c>
    </row>
    <row r="22">
      <c r="A22" s="6"/>
    </row>
    <row r="23">
      <c r="A23" s="6" t="inlineStr">
        <is>
          <t xml:space="preserve">RESSALVAS QUE MUDAM A LEITURA:</t>
        </is>
      </c>
    </row>
    <row r="24">
      <c r="A24" s="6" t="inlineStr">
        <is>
          <t xml:space="preserve">  1. Todas estas campanhas são anteriores à build com aceleração de hardware (commit 41c7c9d).</t>
        </is>
      </c>
    </row>
    <row r="25">
      <c r="A25" s="6" t="inlineStr">
        <is>
          <t xml:space="preserve">     AES-256-GCM a 138 MiB/s e ECDHE P-256 a 0,41 ms: os números de CPU são custo de software.</t>
        </is>
      </c>
    </row>
    <row r="26">
      <c r="A26" s="6" t="inlineStr">
        <is>
          <t xml:space="preserve">  2. CPU/msg sob a condição 'enlace limpo' NÃO é comparável: o canal em claro mede mais CPU que</t>
        </is>
      </c>
    </row>
    <row r="27">
      <c r="A27" s="6" t="inlineStr">
        <is>
          <t xml:space="preserve">     o seguro, o que é impossível como custo de cifra. Só a diferença seguro-claro SOB NETEM vale.</t>
        </is>
      </c>
    </row>
    <row r="28">
      <c r="A28" s="6" t="inlineStr">
        <is>
          <t xml:space="preserve">  3. O canal C3 mede atraso UNIDIRECIONAL sem relógio comum entre as VMs. Valem as diferenças</t>
        </is>
      </c>
    </row>
    <row r="29">
      <c r="A29" s="6" t="inlineStr">
        <is>
          <t xml:space="preserve">     entre percentis (p99-p50), não os valores absolutos.</t>
        </is>
      </c>
    </row>
    <row r="30">
      <c r="A30" s="6" t="inlineStr">
        <is>
          <t xml:space="preserve">  4. As colunas de percentil do C4 trazem o tempo da transferência COMPLETA (32 MiB; 8 MiB nas</t>
        </is>
      </c>
    </row>
    <row r="31">
      <c r="A31" s="6" t="inlineStr">
        <is>
          <t xml:space="preserve">     varreduras, 1 MiB em loss-20), uma amostra por repetição — não é latência por mensagem.</t>
        </is>
      </c>
    </row>
    <row r="32">
      <c r="A32" s="6" t="inlineStr">
        <is>
          <t xml:space="preserve">  5. O C2 não tem contadores de bytes de fio (o libcoap não os expõe). Os bytes do C2 saem do</t>
        </is>
      </c>
    </row>
    <row r="33">
      <c r="A33" s="6" t="inlineStr">
        <is>
          <t xml:space="preserve">     pcap: requisição 57 B e resposta 46 B com OSCORE, contra 46 B e 35 B em claro.</t>
        </is>
      </c>
    </row>
    <row r="34">
      <c r="A34" s="6" t="inlineStr">
        <is>
          <t xml:space="preserve">  6. Células vazias em CPU/retx são o resultado, não instrumentação faltando: só o CoAP</t>
        </is>
      </c>
    </row>
    <row r="35">
      <c r="A35" s="6" t="inlineStr">
        <is>
          <t xml:space="preserve">     confirmável retransmite na camada de aplicação.</t>
        </is>
      </c>
    </row>
    <row r="36">
      <c r="A36" s="6" t="inlineStr">
        <is>
          <t xml:space="preserve">  7. 'reps sem dados' é a taxa de falha de estabelecimento: repetições cujo handshake não fechou,</t>
        </is>
      </c>
    </row>
    <row r="37">
      <c r="A37" s="6" t="inlineStr">
        <is>
          <t xml:space="preserve">     excluídas das medianas. A 20% de perda independente, C1 falhou 3/5 e C3 2/5.</t>
        </is>
      </c>
    </row>
    <row r="38">
      <c r="A38" s="6"/>
    </row>
    <row r="39">
      <c r="A39" s="6" t="inlineStr">
        <is>
          <t xml:space="preserve">As colunas marcadas como fórmula recalculam ao abrir a planilha; num leitor que só olhe o cache</t>
        </is>
      </c>
    </row>
    <row r="40">
      <c r="A40" s="6" t="inlineStr">
        <is>
          <t xml:space="preserve">(pandas, csv) elas aparecem vazias até que o arquivo seja aberto uma vez num editor de planilha.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4.5"/>
  <cols>
    <col min="1" max="1" width="16" customWidth="1"/>
    <col min="2" max="2" width="15" customWidth="1"/>
    <col min="3" max="3" width="14" customWidth="1"/>
    <col min="4" max="4" width="15" customWidth="1"/>
    <col min="5" max="5" width="14" customWidth="1"/>
    <col min="6" max="6" width="15" customWidth="1"/>
    <col min="7" max="7" width="14" customWidth="1"/>
  </cols>
  <sheetData>
    <row r="1">
      <c r="A1" s="1" t="inlineStr">
        <is>
          <t xml:space="preserve">canal</t>
        </is>
      </c>
      <c r="B1" s="1" t="inlineStr">
        <is>
          <t xml:space="preserve">enlace limpo — estab. (ms)</t>
        </is>
      </c>
      <c r="C1" s="1" t="inlineStr">
        <is>
          <t xml:space="preserve">enlace limpo — IQR (ms)</t>
        </is>
      </c>
      <c r="D1" s="1" t="inlineStr">
        <is>
          <t xml:space="preserve">3GPP C2 — estab. (ms)</t>
        </is>
      </c>
      <c r="E1" s="1" t="inlineStr">
        <is>
          <t xml:space="preserve">3GPP C2 — IQR (ms)</t>
        </is>
      </c>
      <c r="F1" s="1" t="inlineStr">
        <is>
          <t xml:space="preserve">handover — estab. (ms)</t>
        </is>
      </c>
      <c r="G1" s="1" t="inlineStr">
        <is>
          <t xml:space="preserve">handover — IQR (ms)</t>
        </is>
      </c>
    </row>
    <row r="2">
      <c r="A2" s="0" t="inlineStr">
        <is>
          <t xml:space="preserve">C1 DTLS 1.3</t>
        </is>
      </c>
      <c r="B2" s="3">
        <v>8.752114</v>
      </c>
      <c r="C2" s="3">
        <v>3.055299</v>
      </c>
      <c r="D2" s="3">
        <v>308.635067</v>
      </c>
      <c r="E2" s="3">
        <v>0.235629</v>
      </c>
      <c r="F2" s="3">
        <v>3754.284543</v>
      </c>
      <c r="G2" s="3">
        <v>1563.205635</v>
      </c>
    </row>
    <row r="3">
      <c r="A3" s="0" t="inlineStr">
        <is>
          <t xml:space="preserve">C2 OSCORE</t>
        </is>
      </c>
      <c r="B3" s="3">
        <v>1.105704</v>
      </c>
      <c r="C3" s="3">
        <v>0.12762</v>
      </c>
      <c r="D3" s="3">
        <v>101.571002</v>
      </c>
      <c r="E3" s="3">
        <v>0.238684</v>
      </c>
      <c r="F3" s="3">
        <v>413.926505</v>
      </c>
      <c r="G3" s="3">
        <v>1921.71938</v>
      </c>
    </row>
    <row r="4">
      <c r="A4" s="0" t="inlineStr">
        <is>
          <t xml:space="preserve">C3 DTLS-SRTP</t>
        </is>
      </c>
      <c r="B4" s="3">
        <v>6.863354</v>
      </c>
      <c r="C4" s="3">
        <v>0.298135</v>
      </c>
      <c r="D4" s="3">
        <v>308.679439</v>
      </c>
      <c r="E4" s="3">
        <v>0.159817</v>
      </c>
      <c r="F4" s="3">
        <v>4210.502338</v>
      </c>
      <c r="G4" s="3">
        <v>1832.642132</v>
      </c>
    </row>
    <row r="5">
      <c r="A5" s="0" t="inlineStr">
        <is>
          <t xml:space="preserve">C4 TLS 1.3</t>
        </is>
      </c>
      <c r="B5" s="3">
        <v>3.273693</v>
      </c>
      <c r="C5" s="3">
        <v>0.178262</v>
      </c>
      <c r="D5" s="3">
        <v>203.717722</v>
      </c>
      <c r="E5" s="3">
        <v>0.082664</v>
      </c>
      <c r="F5" s="3">
        <v>823.298187</v>
      </c>
      <c r="G5" s="3">
        <v>1007.939869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4.5"/>
  <cols>
    <col min="1" max="1" width="16" customWidth="1"/>
    <col min="2" max="2" width="16" customWidth="1"/>
    <col min="3" max="3" width="16" customWidth="1"/>
    <col min="4" max="4" width="16" customWidth="1"/>
  </cols>
  <sheetData>
    <row r="1">
      <c r="A1" s="1" t="inlineStr">
        <is>
          <t xml:space="preserve">canal</t>
        </is>
      </c>
      <c r="B1" s="1" t="inlineStr">
        <is>
          <t xml:space="preserve">enlace limpo — CPU (ms)</t>
        </is>
      </c>
      <c r="C1" s="1" t="inlineStr">
        <is>
          <t xml:space="preserve">3GPP C2 — CPU (ms)</t>
        </is>
      </c>
      <c r="D1" s="1" t="inlineStr">
        <is>
          <t xml:space="preserve">handover — CPU (ms)</t>
        </is>
      </c>
    </row>
    <row r="2">
      <c r="A2" s="0" t="inlineStr">
        <is>
          <t xml:space="preserve">C1 DTLS 1.3</t>
        </is>
      </c>
      <c r="B2" s="4">
        <v>3.259712</v>
      </c>
      <c r="C2" s="4">
        <v>3.142005</v>
      </c>
      <c r="D2" s="4">
        <v>3.739614</v>
      </c>
    </row>
    <row r="3">
      <c r="A3" s="0" t="inlineStr">
        <is>
          <t xml:space="preserve">C2 OSCORE</t>
        </is>
      </c>
      <c r="B3" s="4">
        <v>0.436524</v>
      </c>
      <c r="C3" s="4">
        <v>0.299092</v>
      </c>
      <c r="D3" s="4">
        <v>0.31534</v>
      </c>
    </row>
    <row r="4">
      <c r="A4" s="0" t="inlineStr">
        <is>
          <t xml:space="preserve">C3 DTLS-SRTP</t>
        </is>
      </c>
      <c r="B4" s="4">
        <v>3.378424</v>
      </c>
      <c r="C4" s="4">
        <v>3.156884</v>
      </c>
      <c r="D4" s="4">
        <v>3.841397</v>
      </c>
    </row>
    <row r="5">
      <c r="A5" s="0" t="inlineStr">
        <is>
          <t xml:space="preserve">C4 TLS 1.3</t>
        </is>
      </c>
      <c r="B5" s="4">
        <v>1.647757</v>
      </c>
      <c r="C5" s="4">
        <v>1.523199</v>
      </c>
      <c r="D5" s="4">
        <v>1.515963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4.5"/>
  <cols>
    <col min="1" max="1" width="16" customWidth="1"/>
    <col min="2" max="2" width="17" customWidth="1"/>
    <col min="3" max="3" width="17" customWidth="1"/>
    <col min="4" max="4" width="17" customWidth="1"/>
    <col min="5" max="5" width="34" customWidth="1"/>
  </cols>
  <sheetData>
    <row r="1">
      <c r="A1" s="1" t="inlineStr">
        <is>
          <t xml:space="preserve">canal</t>
        </is>
      </c>
      <c r="B1" s="1" t="inlineStr">
        <is>
          <t xml:space="preserve">seguro (MB)</t>
        </is>
      </c>
      <c r="C1" s="1" t="inlineStr">
        <is>
          <t xml:space="preserve">em claro (MB)</t>
        </is>
      </c>
      <c r="D1" s="1" t="inlineStr">
        <is>
          <t xml:space="preserve">acréscimo (MB)</t>
        </is>
      </c>
      <c r="E1" s="1" t="inlineStr">
        <is>
          <t xml:space="preserve">o que o acréscimo é</t>
        </is>
      </c>
    </row>
    <row r="2">
      <c r="A2" s="0" t="inlineStr">
        <is>
          <t xml:space="preserve">C1 DTLS 1.3</t>
        </is>
      </c>
      <c r="B2" s="3">
        <v>4.238281</v>
      </c>
      <c r="C2" s="3">
        <v>3.007812</v>
      </c>
      <c r="D2" s="3">
        <f>B2-C2</f>
      </c>
      <c r="E2" s="0" t="inlineStr">
        <is>
          <t xml:space="preserve">wolfSSL</t>
        </is>
      </c>
    </row>
    <row r="3">
      <c r="A3" s="0" t="inlineStr">
        <is>
          <t xml:space="preserve">C2 OSCORE</t>
        </is>
      </c>
      <c r="B3" s="3">
        <v>4.146484</v>
      </c>
      <c r="C3" s="3">
        <v>4.011719</v>
      </c>
      <c r="D3" s="3">
        <f>B3-C3</f>
      </c>
      <c r="E3" s="0" t="inlineStr">
        <is>
          <t xml:space="preserve">libcoap já está nos dois lados; OSCORE é contexto, não pilha</t>
        </is>
      </c>
    </row>
    <row r="4">
      <c r="A4" s="0" t="inlineStr">
        <is>
          <t xml:space="preserve">C3 DTLS-SRTP</t>
        </is>
      </c>
      <c r="B4" s="3">
        <v>6.90625</v>
      </c>
      <c r="C4" s="3">
        <v>2.902344</v>
      </c>
      <c r="D4" s="3">
        <f>B4-C4</f>
      </c>
      <c r="E4" s="0" t="inlineStr">
        <is>
          <t xml:space="preserve">wolfSSL + libsrtp2</t>
        </is>
      </c>
    </row>
    <row r="5">
      <c r="A5" s="0" t="inlineStr">
        <is>
          <t xml:space="preserve">C4 TLS 1.3</t>
        </is>
      </c>
      <c r="B5" s="3">
        <v>4.115234</v>
      </c>
      <c r="C5" s="3">
        <v>2.917969</v>
      </c>
      <c r="D5" s="3">
        <f>B5-C5</f>
      </c>
      <c r="E5" s="0" t="inlineStr">
        <is>
          <t xml:space="preserve">wolfSSL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4.5"/>
  <cols>
    <col min="1" max="1" width="12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>
      <c r="A1" s="1" t="inlineStr">
        <is>
          <t xml:space="preserve">perda (%)</t>
        </is>
      </c>
      <c r="B1" s="1" t="inlineStr">
        <is>
          <t xml:space="preserve">C1 DTLS 1.3 — entrega (%)</t>
        </is>
      </c>
      <c r="C1" s="1" t="inlineStr">
        <is>
          <t xml:space="preserve">C2 OSCORE — entrega (%)</t>
        </is>
      </c>
      <c r="D1" s="1" t="inlineStr">
        <is>
          <t xml:space="preserve">C3 DTLS-SRTP — entrega (%)</t>
        </is>
      </c>
      <c r="E1" s="1" t="inlineStr">
        <is>
          <t xml:space="preserve">C4 TLS 1.3 — entrega (%)</t>
        </is>
      </c>
      <c r="F1" s="1" t="inlineStr">
        <is>
          <t xml:space="preserve">C1 reps sem dados</t>
        </is>
      </c>
      <c r="G1" s="1" t="inlineStr">
        <is>
          <t xml:space="preserve">C3 reps sem dados</t>
        </is>
      </c>
    </row>
    <row r="2">
      <c r="A2" s="3">
        <v>0</v>
      </c>
      <c r="B2" s="3">
        <v>100.0</v>
      </c>
      <c r="C2" s="3">
        <v>100.0</v>
      </c>
      <c r="D2" s="3">
        <v>99.9024</v>
      </c>
      <c r="E2" s="3">
        <v>100.0</v>
      </c>
      <c r="F2" s="2">
        <v>0.0</v>
      </c>
      <c r="G2" s="2">
        <v>0.0</v>
      </c>
    </row>
    <row r="3">
      <c r="A3" s="3">
        <v>0.1</v>
      </c>
      <c r="B3" s="3">
        <v>99.90625</v>
      </c>
      <c r="C3" s="3">
        <v>100.0</v>
      </c>
      <c r="D3" s="3">
        <v>99.896</v>
      </c>
      <c r="E3" s="3">
        <v>100.0</v>
      </c>
      <c r="F3" s="2">
        <v>0.0</v>
      </c>
      <c r="G3" s="2">
        <v>0.0</v>
      </c>
    </row>
    <row r="4">
      <c r="A4" s="3">
        <v>1</v>
      </c>
      <c r="B4" s="3">
        <v>99.0625</v>
      </c>
      <c r="C4" s="3">
        <v>100.0</v>
      </c>
      <c r="D4" s="3">
        <v>99.0144</v>
      </c>
      <c r="E4" s="3">
        <v>100.0</v>
      </c>
      <c r="F4" s="2">
        <v>0.0</v>
      </c>
      <c r="G4" s="2">
        <v>0.0</v>
      </c>
    </row>
    <row r="5">
      <c r="A5" s="3">
        <v>5</v>
      </c>
      <c r="B5" s="3">
        <v>94.953125</v>
      </c>
      <c r="C5" s="3">
        <v>100.0</v>
      </c>
      <c r="D5" s="3">
        <v>95.024</v>
      </c>
      <c r="E5" s="3">
        <v>100.0</v>
      </c>
      <c r="F5" s="2">
        <v>0.0</v>
      </c>
      <c r="G5" s="2">
        <v>0.0</v>
      </c>
    </row>
    <row r="6">
      <c r="A6" s="3">
        <v>10</v>
      </c>
      <c r="B6" s="3">
        <v>89.541667</v>
      </c>
      <c r="C6" s="3">
        <v>100.0</v>
      </c>
      <c r="D6" s="3">
        <v>90.0296</v>
      </c>
      <c r="E6" s="3">
        <v>100.0</v>
      </c>
      <c r="F6" s="2">
        <v>0.0</v>
      </c>
      <c r="G6" s="2">
        <v>0.0</v>
      </c>
    </row>
    <row r="7">
      <c r="A7" s="3">
        <v>20</v>
      </c>
      <c r="B7" s="3">
        <v>80.46875</v>
      </c>
      <c r="C7" s="3">
        <v>100.0</v>
      </c>
      <c r="D7" s="3">
        <v>79.934667</v>
      </c>
      <c r="E7" s="3">
        <v>100.0</v>
      </c>
      <c r="F7" s="2">
        <v>3.0</v>
      </c>
      <c r="G7" s="2">
        <v>2.0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4.5"/>
  <cols>
    <col min="1" max="1" width="14" customWidth="1"/>
    <col min="2" max="2" width="12" customWidth="1"/>
    <col min="3" max="3" width="16" customWidth="1"/>
    <col min="4" max="4" width="16" customWidth="1"/>
    <col min="5" max="5" width="16" customWidth="1"/>
    <col min="6" max="6" width="16" customWidth="1"/>
  </cols>
  <sheetData>
    <row r="1">
      <c r="A1" s="1" t="inlineStr">
        <is>
          <t xml:space="preserve">atraso (ms)</t>
        </is>
      </c>
      <c r="B1" s="1" t="inlineStr">
        <is>
          <t xml:space="preserve">RTT (ms)</t>
        </is>
      </c>
      <c r="C1" s="1" t="inlineStr">
        <is>
          <t xml:space="preserve">C1 DTLS 1.3 — estab. (ms)</t>
        </is>
      </c>
      <c r="D1" s="1" t="inlineStr">
        <is>
          <t xml:space="preserve">C2 OSCORE — estab. (ms)</t>
        </is>
      </c>
      <c r="E1" s="1" t="inlineStr">
        <is>
          <t xml:space="preserve">C3 DTLS-SRTP — estab. (ms)</t>
        </is>
      </c>
      <c r="F1" s="1" t="inlineStr">
        <is>
          <t xml:space="preserve">C4 TLS 1.3 — estab. (ms)</t>
        </is>
      </c>
    </row>
    <row r="2">
      <c r="A2" s="2">
        <v>0</v>
      </c>
      <c r="B2" s="2">
        <f>2*A2</f>
      </c>
      <c r="C2" s="3">
        <v>13.614711</v>
      </c>
      <c r="D2" s="3">
        <v>2.011831</v>
      </c>
      <c r="E2" s="3">
        <v>12.477699</v>
      </c>
      <c r="F2" s="3">
        <v>6.268417</v>
      </c>
    </row>
    <row r="3">
      <c r="A3" s="2">
        <v>25</v>
      </c>
      <c r="B3" s="2">
        <f>2*A3</f>
      </c>
      <c r="C3" s="3">
        <v>163.010455</v>
      </c>
      <c r="D3" s="3">
        <v>52.56729</v>
      </c>
      <c r="E3" s="3">
        <v>162.973368</v>
      </c>
      <c r="F3" s="3">
        <v>105.647179</v>
      </c>
    </row>
    <row r="4">
      <c r="A4" s="2">
        <v>50</v>
      </c>
      <c r="B4" s="2">
        <f>2*A4</f>
      </c>
      <c r="C4" s="3">
        <v>313.330462</v>
      </c>
      <c r="D4" s="3">
        <v>102.242815</v>
      </c>
      <c r="E4" s="3">
        <v>312.91673</v>
      </c>
      <c r="F4" s="3">
        <v>205.52769</v>
      </c>
    </row>
    <row r="5">
      <c r="A5" s="2">
        <v>100</v>
      </c>
      <c r="B5" s="2">
        <f>2*A5</f>
      </c>
      <c r="C5" s="3">
        <v>613.332201</v>
      </c>
      <c r="D5" s="3">
        <v>202.517527</v>
      </c>
      <c r="E5" s="3">
        <v>613.173946</v>
      </c>
      <c r="F5" s="3">
        <v>405.872715</v>
      </c>
    </row>
    <row r="6">
      <c r="A6" s="2">
        <v>200</v>
      </c>
      <c r="B6" s="2">
        <f>2*A6</f>
      </c>
      <c r="C6" s="3">
        <v>1213.078247</v>
      </c>
      <c r="D6" s="3">
        <v>402.420937</v>
      </c>
      <c r="E6" s="3">
        <v>1212.803645</v>
      </c>
      <c r="F6" s="3">
        <v>805.658453</v>
      </c>
    </row>
    <row r="7">
      <c r="A7" s="0"/>
      <c r="B7" s="0"/>
      <c r="C7" s="0"/>
      <c r="D7" s="0"/>
      <c r="E7" s="0"/>
      <c r="F7" s="0"/>
    </row>
    <row r="8">
      <c r="A8" s="0" t="inlineStr">
        <is>
          <t xml:space="preserve">inclinação (RTT)</t>
        </is>
      </c>
      <c r="B8" s="0"/>
      <c r="C8" s="4">
        <f>(C6-C2)/(B6-B2)</f>
      </c>
      <c r="D8" s="4">
        <f>(D6-D2)/(B6-B2)</f>
      </c>
      <c r="E8" s="4">
        <f>(E6-E2)/(B6-B2)</f>
      </c>
      <c r="F8" s="4">
        <f>(F6-F2)/(B6-B2)</f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4.5"/>
  <cols>
    <col min="1" max="1" width="13" customWidth="1"/>
    <col min="2" max="2" width="15" customWidth="1"/>
    <col min="3" max="3" width="17" customWidth="1"/>
    <col min="4" max="4" width="10" customWidth="1"/>
    <col min="5" max="5" width="12" customWidth="1"/>
    <col min="6" max="6" width="17" customWidth="1"/>
    <col min="7" max="7" width="14" customWidth="1"/>
    <col min="8" max="8" width="15" customWidth="1"/>
    <col min="9" max="9" width="13" customWidth="1"/>
    <col min="10" max="10" width="11" customWidth="1"/>
    <col min="11" max="11" width="15" customWidth="1"/>
    <col min="12" max="12" width="15" customWidth="1"/>
    <col min="13" max="13" width="15" customWidth="1"/>
    <col min="14" max="14" width="11" customWidth="1"/>
    <col min="15" max="15" width="12" customWidth="1"/>
    <col min="16" max="16" width="11" customWidth="1"/>
    <col min="17" max="17" width="11" customWidth="1"/>
    <col min="18" max="18" width="11" customWidth="1"/>
    <col min="19" max="19" width="11" customWidth="1"/>
    <col min="20" max="20" width="13" customWidth="1"/>
    <col min="21" max="21" width="14" customWidth="1"/>
    <col min="22" max="22" width="13" customWidth="1"/>
    <col min="23" max="23" width="14" customWidth="1"/>
    <col min="24" max="24" width="13" customWidth="1"/>
    <col min="25" max="25" width="13" customWidth="1"/>
    <col min="26" max="26" width="16" customWidth="1"/>
    <col min="27" max="27" width="14" customWidth="1"/>
  </cols>
  <sheetData>
    <row r="1">
      <c r="A1" s="1" t="inlineStr">
        <is>
          <t xml:space="preserve">condição</t>
        </is>
      </c>
      <c r="B1" s="1" t="inlineStr">
        <is>
          <t xml:space="preserve">canal</t>
        </is>
      </c>
      <c r="C1" s="1" t="inlineStr">
        <is>
          <t xml:space="preserve">perfil</t>
        </is>
      </c>
      <c r="D1" s="1" t="inlineStr">
        <is>
          <t xml:space="preserve">repetições</t>
        </is>
      </c>
      <c r="E1" s="1" t="inlineStr">
        <is>
          <t xml:space="preserve">reps sem dados</t>
        </is>
      </c>
      <c r="F1" s="1" t="inlineStr">
        <is>
          <t xml:space="preserve">estabelecimento (ms)</t>
        </is>
      </c>
      <c r="G1" s="1" t="inlineStr">
        <is>
          <t xml:space="preserve">estab. IQR (ms)</t>
        </is>
      </c>
      <c r="H1" s="1" t="inlineStr">
        <is>
          <t xml:space="preserve">CPU do estab. (ms)</t>
        </is>
      </c>
      <c r="I1" s="1" t="inlineStr">
        <is>
          <t xml:space="preserve">bytes do estab.</t>
        </is>
      </c>
      <c r="J1" s="1" t="inlineStr">
        <is>
          <t xml:space="preserve">mensagens</t>
        </is>
      </c>
      <c r="K1" s="1" t="inlineStr">
        <is>
          <t xml:space="preserve">bytes de aplicação</t>
        </is>
      </c>
      <c r="L1" s="1" t="inlineStr">
        <is>
          <t xml:space="preserve">sobrecarga (B/msg)</t>
        </is>
      </c>
      <c r="M1" s="1" t="inlineStr">
        <is>
          <t xml:space="preserve">origem do atraso</t>
        </is>
      </c>
      <c r="N1" s="1" t="inlineStr">
        <is>
          <t xml:space="preserve">p50 (ms)</t>
        </is>
      </c>
      <c r="O1" s="1" t="inlineStr">
        <is>
          <t xml:space="preserve">p50 IQR (ms)</t>
        </is>
      </c>
      <c r="P1" s="1" t="inlineStr">
        <is>
          <t xml:space="preserve">p95 (ms)</t>
        </is>
      </c>
      <c r="Q1" s="1" t="inlineStr">
        <is>
          <t xml:space="preserve">p99 (ms)</t>
        </is>
      </c>
      <c r="R1" s="1" t="inlineStr">
        <is>
          <t xml:space="preserve">recebidas</t>
        </is>
      </c>
      <c r="S1" s="1" t="inlineStr">
        <is>
          <t xml:space="preserve">entrega (%)</t>
        </is>
      </c>
      <c r="T1" s="1" t="inlineStr">
        <is>
          <t xml:space="preserve">vazão (Mbps)</t>
        </is>
      </c>
      <c r="U1" s="1" t="inlineStr">
        <is>
          <t xml:space="preserve">vazão IQR (Mbps)</t>
        </is>
      </c>
      <c r="V1" s="1" t="inlineStr">
        <is>
          <t xml:space="preserve">CPU/msg (µs)</t>
        </is>
      </c>
      <c r="W1" s="1" t="inlineStr">
        <is>
          <t xml:space="preserve">CPU/msg IQR (µs)</t>
        </is>
      </c>
      <c r="X1" s="1" t="inlineStr">
        <is>
          <t xml:space="preserve">retransmissões</t>
        </is>
      </c>
      <c r="Y1" s="1" t="inlineStr">
        <is>
          <t xml:space="preserve">CPU/retx (µs)</t>
        </is>
      </c>
      <c r="Z1" s="1" t="inlineStr">
        <is>
          <t xml:space="preserve">CPU de verificação (µs)</t>
        </is>
      </c>
      <c r="AA1" s="1" t="inlineStr">
        <is>
          <t xml:space="preserve">RSS de pico (MB)</t>
        </is>
      </c>
    </row>
    <row r="2">
      <c r="A2" s="0" t="inlineStr">
        <is>
          <t xml:space="preserve">clean</t>
        </is>
      </c>
      <c r="B2" s="0" t="inlineStr">
        <is>
          <t xml:space="preserve">C1 control</t>
        </is>
      </c>
      <c r="C2" s="0" t="inlineStr">
        <is>
          <t xml:space="preserve">DTLS 1.3</t>
        </is>
      </c>
      <c r="D2" s="2">
        <v>10.0</v>
      </c>
      <c r="E2" s="2">
        <v>0.0</v>
      </c>
      <c r="F2" s="3">
        <v>8.752114</v>
      </c>
      <c r="G2" s="3">
        <v>3.055299</v>
      </c>
      <c r="H2" s="4">
        <v>3.259712</v>
      </c>
      <c r="I2" s="2">
        <v>4588.0</v>
      </c>
      <c r="J2" s="2">
        <v>38400.0</v>
      </c>
      <c r="K2" s="2">
        <v>4915200.0</v>
      </c>
      <c r="L2" s="3">
        <v>22.016667</v>
      </c>
      <c r="M2" s="0" t="inlineStr">
        <is>
          <t xml:space="preserve">cliente (RTT)</t>
        </is>
      </c>
      <c r="N2" s="3">
        <v>0.780536</v>
      </c>
      <c r="O2" s="3">
        <v>0.009369</v>
      </c>
      <c r="P2" s="3">
        <v>0.932049</v>
      </c>
      <c r="Q2" s="3">
        <v>1.307183</v>
      </c>
      <c r="R2" s="2">
        <v>38400.0</v>
      </c>
      <c r="S2" s="3">
        <v>100.0</v>
      </c>
      <c r="T2" s="4"/>
      <c r="U2" s="4"/>
      <c r="V2" s="3">
        <v>163.17683</v>
      </c>
      <c r="W2" s="3">
        <v>14.761236</v>
      </c>
      <c r="X2" s="2">
        <v>0.0</v>
      </c>
      <c r="Y2" s="3"/>
      <c r="Z2" s="3">
        <v>64.591109</v>
      </c>
      <c r="AA2" s="3">
        <v>4.238281</v>
      </c>
    </row>
    <row r="3">
      <c r="A3" s="0" t="inlineStr">
        <is>
          <t xml:space="preserve">clean</t>
        </is>
      </c>
      <c r="B3" s="0" t="inlineStr">
        <is>
          <t xml:space="preserve">C2 telemetry</t>
        </is>
      </c>
      <c r="C3" s="0" t="inlineStr">
        <is>
          <t xml:space="preserve">OSCORE sobre CoAP</t>
        </is>
      </c>
      <c r="D3" s="2">
        <v>10.0</v>
      </c>
      <c r="E3" s="2">
        <v>0.0</v>
      </c>
      <c r="F3" s="3">
        <v>1.105704</v>
      </c>
      <c r="G3" s="3">
        <v>0.12762</v>
      </c>
      <c r="H3" s="4">
        <v>0.436524</v>
      </c>
      <c r="I3" s="2"/>
      <c r="J3" s="2">
        <v>300.0</v>
      </c>
      <c r="K3" s="2">
        <v>600.0</v>
      </c>
      <c r="L3" s="3"/>
      <c r="M3" s="0" t="inlineStr">
        <is>
          <t xml:space="preserve">cliente (RTT)</t>
        </is>
      </c>
      <c r="N3" s="3">
        <v>1.119139</v>
      </c>
      <c r="O3" s="3">
        <v>0.077394</v>
      </c>
      <c r="P3" s="3">
        <v>1.418406</v>
      </c>
      <c r="Q3" s="3">
        <v>1.571039</v>
      </c>
      <c r="R3" s="2">
        <v>300.0</v>
      </c>
      <c r="S3" s="3">
        <v>100.0</v>
      </c>
      <c r="T3" s="4"/>
      <c r="U3" s="4"/>
      <c r="V3" s="3">
        <v>576.1537</v>
      </c>
      <c r="W3" s="3">
        <v>65.533158</v>
      </c>
      <c r="X3" s="2">
        <v>0.0</v>
      </c>
      <c r="Y3" s="3"/>
      <c r="Z3" s="3"/>
      <c r="AA3" s="3">
        <v>4.164062</v>
      </c>
    </row>
    <row r="4">
      <c r="A4" s="0" t="inlineStr">
        <is>
          <t xml:space="preserve">clean</t>
        </is>
      </c>
      <c r="B4" s="0" t="inlineStr">
        <is>
          <t xml:space="preserve">C3 media</t>
        </is>
      </c>
      <c r="C4" s="0" t="inlineStr">
        <is>
          <t xml:space="preserve">handshake DTLS 1.3 + SRTP na mídia</t>
        </is>
      </c>
      <c r="D4" s="2">
        <v>10.0</v>
      </c>
      <c r="E4" s="2">
        <v>0.0</v>
      </c>
      <c r="F4" s="3">
        <v>6.863354</v>
      </c>
      <c r="G4" s="3">
        <v>0.298135</v>
      </c>
      <c r="H4" s="4">
        <v>3.378424</v>
      </c>
      <c r="I4" s="2">
        <v>4611.0</v>
      </c>
      <c r="J4" s="2">
        <v>250000.0</v>
      </c>
      <c r="K4" s="2">
        <v>300000000.0</v>
      </c>
      <c r="L4" s="3">
        <v>28.00096</v>
      </c>
      <c r="M4" s="0" t="inlineStr">
        <is>
          <t xml:space="preserve">servidor (unidirecional)</t>
        </is>
      </c>
      <c r="N4" s="3">
        <v>0.0</v>
      </c>
      <c r="O4" s="3">
        <v>0.0</v>
      </c>
      <c r="P4" s="3">
        <v>0.0</v>
      </c>
      <c r="Q4" s="3">
        <v>0.0</v>
      </c>
      <c r="R4" s="2">
        <v>250000.0</v>
      </c>
      <c r="S4" s="3">
        <v>100.0</v>
      </c>
      <c r="T4" s="4"/>
      <c r="U4" s="4"/>
      <c r="V4" s="3">
        <v>143.802576</v>
      </c>
      <c r="W4" s="3">
        <v>13.647447</v>
      </c>
      <c r="X4" s="2">
        <v>0.0</v>
      </c>
      <c r="Y4" s="3"/>
      <c r="Z4" s="3">
        <v>20.719804</v>
      </c>
      <c r="AA4" s="3">
        <v>6.896484</v>
      </c>
    </row>
    <row r="5">
      <c r="A5" s="0" t="inlineStr">
        <is>
          <t xml:space="preserve">clean</t>
        </is>
      </c>
      <c r="B5" s="0" t="inlineStr">
        <is>
          <t xml:space="preserve">C4 bulk</t>
        </is>
      </c>
      <c r="C5" s="0" t="inlineStr">
        <is>
          <t xml:space="preserve">TLS 1.3</t>
        </is>
      </c>
      <c r="D5" s="2">
        <v>10.0</v>
      </c>
      <c r="E5" s="2">
        <v>0.0</v>
      </c>
      <c r="F5" s="3">
        <v>3.273693</v>
      </c>
      <c r="G5" s="3">
        <v>0.178262</v>
      </c>
      <c r="H5" s="4">
        <v>1.647757</v>
      </c>
      <c r="I5" s="2">
        <v>2941.0</v>
      </c>
      <c r="J5" s="2">
        <v>20490.0</v>
      </c>
      <c r="K5" s="2">
        <v>335544320.0</v>
      </c>
      <c r="L5" s="3">
        <v>22.015617</v>
      </c>
      <c r="M5" s="0" t="inlineStr">
        <is>
          <t xml:space="preserve">cliente (RTT)</t>
        </is>
      </c>
      <c r="N5" s="3">
        <v>578.816267</v>
      </c>
      <c r="O5" s="3">
        <v>119.196771</v>
      </c>
      <c r="P5" s="3">
        <v>578.816267</v>
      </c>
      <c r="Q5" s="3">
        <v>578.816267</v>
      </c>
      <c r="R5" s="2">
        <v>20480.0</v>
      </c>
      <c r="S5" s="3">
        <v>100.0</v>
      </c>
      <c r="T5" s="4">
        <v>460.61139</v>
      </c>
      <c r="U5" s="4">
        <v>80.191578</v>
      </c>
      <c r="V5" s="3">
        <v>172.743982</v>
      </c>
      <c r="W5" s="3">
        <v>98.07415</v>
      </c>
      <c r="X5" s="2">
        <v>0.0</v>
      </c>
      <c r="Y5" s="3"/>
      <c r="Z5" s="3">
        <v>275.481774</v>
      </c>
      <c r="AA5" s="3">
        <v>4.101562</v>
      </c>
    </row>
    <row r="6">
      <c r="A6" s="0" t="inlineStr">
        <is>
          <t xml:space="preserve">3gpp-c2</t>
        </is>
      </c>
      <c r="B6" s="0" t="inlineStr">
        <is>
          <t xml:space="preserve">C1 control</t>
        </is>
      </c>
      <c r="C6" s="0" t="inlineStr">
        <is>
          <t xml:space="preserve">DTLS 1.3</t>
        </is>
      </c>
      <c r="D6" s="2">
        <v>10.0</v>
      </c>
      <c r="E6" s="2">
        <v>0.0</v>
      </c>
      <c r="F6" s="3">
        <v>308.635067</v>
      </c>
      <c r="G6" s="3">
        <v>0.235629</v>
      </c>
      <c r="H6" s="4">
        <v>3.142005</v>
      </c>
      <c r="I6" s="2">
        <v>4588.0</v>
      </c>
      <c r="J6" s="2">
        <v>38400.0</v>
      </c>
      <c r="K6" s="2">
        <v>4915200.0</v>
      </c>
      <c r="L6" s="3">
        <v>22.016667</v>
      </c>
      <c r="M6" s="0" t="inlineStr">
        <is>
          <t xml:space="preserve">cliente (RTT)</t>
        </is>
      </c>
      <c r="N6" s="3">
        <v>101.181876</v>
      </c>
      <c r="O6" s="3">
        <v>0.021222</v>
      </c>
      <c r="P6" s="3">
        <v>101.314419</v>
      </c>
      <c r="Q6" s="3">
        <v>101.51383</v>
      </c>
      <c r="R6" s="2">
        <v>38358.0</v>
      </c>
      <c r="S6" s="3">
        <v>99.890625</v>
      </c>
      <c r="T6" s="4"/>
      <c r="U6" s="4"/>
      <c r="V6" s="3">
        <v>30.566669</v>
      </c>
      <c r="W6" s="3">
        <v>0.390086</v>
      </c>
      <c r="X6" s="2">
        <v>0.0</v>
      </c>
      <c r="Y6" s="3"/>
      <c r="Z6" s="3">
        <v>59.966138</v>
      </c>
      <c r="AA6" s="3">
        <v>4.238281</v>
      </c>
    </row>
    <row r="7">
      <c r="A7" s="0" t="inlineStr">
        <is>
          <t xml:space="preserve">3gpp-c2</t>
        </is>
      </c>
      <c r="B7" s="0" t="inlineStr">
        <is>
          <t xml:space="preserve">C2 telemetry</t>
        </is>
      </c>
      <c r="C7" s="0" t="inlineStr">
        <is>
          <t xml:space="preserve">OSCORE sobre CoAP</t>
        </is>
      </c>
      <c r="D7" s="2">
        <v>10.0</v>
      </c>
      <c r="E7" s="2">
        <v>0.0</v>
      </c>
      <c r="F7" s="3">
        <v>101.571002</v>
      </c>
      <c r="G7" s="3">
        <v>0.238684</v>
      </c>
      <c r="H7" s="4">
        <v>0.299092</v>
      </c>
      <c r="I7" s="2"/>
      <c r="J7" s="2">
        <v>300.0</v>
      </c>
      <c r="K7" s="2">
        <v>600.0</v>
      </c>
      <c r="L7" s="3"/>
      <c r="M7" s="0" t="inlineStr">
        <is>
          <t xml:space="preserve">cliente (RTT)</t>
        </is>
      </c>
      <c r="N7" s="3">
        <v>101.552773</v>
      </c>
      <c r="O7" s="3">
        <v>0.072998</v>
      </c>
      <c r="P7" s="3">
        <v>101.774529</v>
      </c>
      <c r="Q7" s="3">
        <v>101.978039</v>
      </c>
      <c r="R7" s="2">
        <v>300.0</v>
      </c>
      <c r="S7" s="3">
        <v>100.0</v>
      </c>
      <c r="T7" s="4"/>
      <c r="U7" s="4"/>
      <c r="V7" s="3">
        <v>377.56655</v>
      </c>
      <c r="W7" s="3">
        <v>20.479033</v>
      </c>
      <c r="X7" s="2">
        <v>1.0</v>
      </c>
      <c r="Y7" s="3">
        <v>0.0</v>
      </c>
      <c r="Z7" s="3"/>
      <c r="AA7" s="3">
        <v>4.146484</v>
      </c>
    </row>
    <row r="8">
      <c r="A8" s="0" t="inlineStr">
        <is>
          <t xml:space="preserve">3gpp-c2</t>
        </is>
      </c>
      <c r="B8" s="0" t="inlineStr">
        <is>
          <t xml:space="preserve">C3 media</t>
        </is>
      </c>
      <c r="C8" s="0" t="inlineStr">
        <is>
          <t xml:space="preserve">handshake DTLS 1.3 + SRTP na mídia</t>
        </is>
      </c>
      <c r="D8" s="2">
        <v>10.0</v>
      </c>
      <c r="E8" s="2">
        <v>0.0</v>
      </c>
      <c r="F8" s="3">
        <v>308.679439</v>
      </c>
      <c r="G8" s="3">
        <v>0.159817</v>
      </c>
      <c r="H8" s="4">
        <v>3.156884</v>
      </c>
      <c r="I8" s="2">
        <v>4611.0</v>
      </c>
      <c r="J8" s="2">
        <v>250000.0</v>
      </c>
      <c r="K8" s="2">
        <v>300000000.0</v>
      </c>
      <c r="L8" s="3">
        <v>28.00096</v>
      </c>
      <c r="M8" s="0" t="inlineStr">
        <is>
          <t xml:space="preserve">servidor (unidirecional)</t>
        </is>
      </c>
      <c r="N8" s="3">
        <v>0.0</v>
      </c>
      <c r="O8" s="3">
        <v>0.0</v>
      </c>
      <c r="P8" s="3">
        <v>0.0</v>
      </c>
      <c r="Q8" s="3">
        <v>0.0</v>
      </c>
      <c r="R8" s="2">
        <v>249716.0</v>
      </c>
      <c r="S8" s="3">
        <v>99.8864</v>
      </c>
      <c r="T8" s="4"/>
      <c r="U8" s="4"/>
      <c r="V8" s="3">
        <v>44.237189</v>
      </c>
      <c r="W8" s="3">
        <v>3.2184</v>
      </c>
      <c r="X8" s="2">
        <v>0.0</v>
      </c>
      <c r="Y8" s="3"/>
      <c r="Z8" s="3">
        <v>21.188777</v>
      </c>
      <c r="AA8" s="3">
        <v>6.90625</v>
      </c>
    </row>
    <row r="9">
      <c r="A9" s="0" t="inlineStr">
        <is>
          <t xml:space="preserve">3gpp-c2</t>
        </is>
      </c>
      <c r="B9" s="0" t="inlineStr">
        <is>
          <t xml:space="preserve">C4 bulk</t>
        </is>
      </c>
      <c r="C9" s="0" t="inlineStr">
        <is>
          <t xml:space="preserve">TLS 1.3</t>
        </is>
      </c>
      <c r="D9" s="2">
        <v>10.0</v>
      </c>
      <c r="E9" s="2">
        <v>0.0</v>
      </c>
      <c r="F9" s="3">
        <v>203.717722</v>
      </c>
      <c r="G9" s="3">
        <v>0.082664</v>
      </c>
      <c r="H9" s="4">
        <v>1.523199</v>
      </c>
      <c r="I9" s="2">
        <v>2941.0</v>
      </c>
      <c r="J9" s="2">
        <v>20490.0</v>
      </c>
      <c r="K9" s="2">
        <v>335544320.0</v>
      </c>
      <c r="L9" s="3">
        <v>22.015617</v>
      </c>
      <c r="M9" s="0" t="inlineStr">
        <is>
          <t xml:space="preserve">cliente (RTT)</t>
        </is>
      </c>
      <c r="N9" s="3">
        <v>2147.962448</v>
      </c>
      <c r="O9" s="3">
        <v>15330.891955</v>
      </c>
      <c r="P9" s="3">
        <v>2147.962448</v>
      </c>
      <c r="Q9" s="3">
        <v>2147.962448</v>
      </c>
      <c r="R9" s="2">
        <v>20480.0</v>
      </c>
      <c r="S9" s="3">
        <v>100.0</v>
      </c>
      <c r="T9" s="4">
        <v>109.453563</v>
      </c>
      <c r="U9" s="4">
        <v>101.032581</v>
      </c>
      <c r="V9" s="3">
        <v>141.727624</v>
      </c>
      <c r="W9" s="3">
        <v>34.758578</v>
      </c>
      <c r="X9" s="2">
        <v>0.0</v>
      </c>
      <c r="Y9" s="3"/>
      <c r="Z9" s="3">
        <v>238.155499</v>
      </c>
      <c r="AA9" s="3">
        <v>4.162109</v>
      </c>
    </row>
    <row r="10">
      <c r="A10" s="0" t="inlineStr">
        <is>
          <t xml:space="preserve">handover</t>
        </is>
      </c>
      <c r="B10" s="0" t="inlineStr">
        <is>
          <t xml:space="preserve">C1 control</t>
        </is>
      </c>
      <c r="C10" s="0" t="inlineStr">
        <is>
          <t xml:space="preserve">DTLS 1.3</t>
        </is>
      </c>
      <c r="D10" s="2">
        <v>10.0</v>
      </c>
      <c r="E10" s="2">
        <v>0.0</v>
      </c>
      <c r="F10" s="3">
        <v>3754.284543</v>
      </c>
      <c r="G10" s="3">
        <v>1563.205635</v>
      </c>
      <c r="H10" s="4">
        <v>3.739614</v>
      </c>
      <c r="I10" s="2">
        <v>7474.5</v>
      </c>
      <c r="J10" s="2">
        <v>38400.0</v>
      </c>
      <c r="K10" s="2">
        <v>4915200.0</v>
      </c>
      <c r="L10" s="3">
        <v>22.009375</v>
      </c>
      <c r="M10" s="0" t="inlineStr">
        <is>
          <t xml:space="preserve">cliente (RTT)</t>
        </is>
      </c>
      <c r="N10" s="3">
        <v>401.215418</v>
      </c>
      <c r="O10" s="3">
        <v>0.452906</v>
      </c>
      <c r="P10" s="3">
        <v>428.846055</v>
      </c>
      <c r="Q10" s="3">
        <v>436.231424</v>
      </c>
      <c r="R10" s="2">
        <v>34446.0</v>
      </c>
      <c r="S10" s="3">
        <v>89.703125</v>
      </c>
      <c r="T10" s="4"/>
      <c r="U10" s="4"/>
      <c r="V10" s="3">
        <v>32.451801</v>
      </c>
      <c r="W10" s="3">
        <v>0.482548</v>
      </c>
      <c r="X10" s="2">
        <v>0.0</v>
      </c>
      <c r="Y10" s="3"/>
      <c r="Z10" s="3">
        <v>62.662636</v>
      </c>
      <c r="AA10" s="3">
        <v>4.203125</v>
      </c>
    </row>
    <row r="11">
      <c r="A11" s="0" t="inlineStr">
        <is>
          <t xml:space="preserve">handover</t>
        </is>
      </c>
      <c r="B11" s="0" t="inlineStr">
        <is>
          <t xml:space="preserve">C2 telemetry</t>
        </is>
      </c>
      <c r="C11" s="0" t="inlineStr">
        <is>
          <t xml:space="preserve">OSCORE sobre CoAP</t>
        </is>
      </c>
      <c r="D11" s="2">
        <v>10.0</v>
      </c>
      <c r="E11" s="2">
        <v>0.0</v>
      </c>
      <c r="F11" s="3">
        <v>413.926505</v>
      </c>
      <c r="G11" s="3">
        <v>1921.71938</v>
      </c>
      <c r="H11" s="4">
        <v>0.31534</v>
      </c>
      <c r="I11" s="2"/>
      <c r="J11" s="2">
        <v>251.0</v>
      </c>
      <c r="K11" s="2">
        <v>502.0</v>
      </c>
      <c r="L11" s="3"/>
      <c r="M11" s="0" t="inlineStr">
        <is>
          <t xml:space="preserve">cliente (RTT)</t>
        </is>
      </c>
      <c r="N11" s="3">
        <v>405.03628</v>
      </c>
      <c r="O11" s="3">
        <v>6.670128</v>
      </c>
      <c r="P11" s="3">
        <v>3232.37663</v>
      </c>
      <c r="Q11" s="3">
        <v>6826.546612</v>
      </c>
      <c r="R11" s="2">
        <v>251.0</v>
      </c>
      <c r="S11" s="3">
        <v>100.0</v>
      </c>
      <c r="T11" s="4"/>
      <c r="U11" s="4"/>
      <c r="V11" s="3">
        <v>389.870972</v>
      </c>
      <c r="W11" s="3">
        <v>11.372191</v>
      </c>
      <c r="X11" s="2">
        <v>58.0</v>
      </c>
      <c r="Y11" s="3">
        <v>0.0</v>
      </c>
      <c r="Z11" s="3"/>
      <c r="AA11" s="3">
        <v>4.140625</v>
      </c>
    </row>
    <row r="12">
      <c r="A12" s="0" t="inlineStr">
        <is>
          <t xml:space="preserve">handover</t>
        </is>
      </c>
      <c r="B12" s="0" t="inlineStr">
        <is>
          <t xml:space="preserve">C3 media</t>
        </is>
      </c>
      <c r="C12" s="0" t="inlineStr">
        <is>
          <t xml:space="preserve">handshake DTLS 1.3 + SRTP na mídia</t>
        </is>
      </c>
      <c r="D12" s="2">
        <v>10.0</v>
      </c>
      <c r="E12" s="2">
        <v>0.0</v>
      </c>
      <c r="F12" s="3">
        <v>4210.502338</v>
      </c>
      <c r="G12" s="3">
        <v>1832.642132</v>
      </c>
      <c r="H12" s="4">
        <v>3.841397</v>
      </c>
      <c r="I12" s="2">
        <v>6652.5</v>
      </c>
      <c r="J12" s="2">
        <v>250000.0</v>
      </c>
      <c r="K12" s="2">
        <v>300000000.0</v>
      </c>
      <c r="L12" s="3">
        <v>28.00096</v>
      </c>
      <c r="M12" s="0" t="inlineStr">
        <is>
          <t xml:space="preserve">servidor (unidirecional)</t>
        </is>
      </c>
      <c r="N12" s="3">
        <v>62.648664</v>
      </c>
      <c r="O12" s="3">
        <v>0.0</v>
      </c>
      <c r="P12" s="3">
        <v>80.651495</v>
      </c>
      <c r="Q12" s="3">
        <v>83.056763</v>
      </c>
      <c r="R12" s="2">
        <v>224551.0</v>
      </c>
      <c r="S12" s="3">
        <v>89.8204</v>
      </c>
      <c r="T12" s="4"/>
      <c r="U12" s="4"/>
      <c r="V12" s="3">
        <v>40.925614</v>
      </c>
      <c r="W12" s="3">
        <v>1.020725</v>
      </c>
      <c r="X12" s="2">
        <v>0.0</v>
      </c>
      <c r="Y12" s="3"/>
      <c r="Z12" s="3">
        <v>19.33635</v>
      </c>
      <c r="AA12" s="3">
        <v>6.910156</v>
      </c>
    </row>
    <row r="13">
      <c r="A13" s="0" t="inlineStr">
        <is>
          <t xml:space="preserve">handover</t>
        </is>
      </c>
      <c r="B13" s="0" t="inlineStr">
        <is>
          <t xml:space="preserve">C4 bulk</t>
        </is>
      </c>
      <c r="C13" s="0" t="inlineStr">
        <is>
          <t xml:space="preserve">TLS 1.3</t>
        </is>
      </c>
      <c r="D13" s="2">
        <v>10.0</v>
      </c>
      <c r="E13" s="2">
        <v>0.0</v>
      </c>
      <c r="F13" s="3">
        <v>823.298187</v>
      </c>
      <c r="G13" s="3">
        <v>1007.939869</v>
      </c>
      <c r="H13" s="4">
        <v>1.515963</v>
      </c>
      <c r="I13" s="2">
        <v>2941.0</v>
      </c>
      <c r="J13" s="2">
        <v>20490.0</v>
      </c>
      <c r="K13" s="2">
        <v>335544320.0</v>
      </c>
      <c r="L13" s="3">
        <v>22.015617</v>
      </c>
      <c r="M13" s="0" t="inlineStr">
        <is>
          <t xml:space="preserve">cliente (RTT)</t>
        </is>
      </c>
      <c r="N13" s="3">
        <v>2123008.292123</v>
      </c>
      <c r="O13" s="3">
        <v>118827.122118</v>
      </c>
      <c r="P13" s="3">
        <v>2123008.292123</v>
      </c>
      <c r="Q13" s="3">
        <v>2123008.292123</v>
      </c>
      <c r="R13" s="2">
        <v>20480.0</v>
      </c>
      <c r="S13" s="3">
        <v>100.0</v>
      </c>
      <c r="T13" s="4">
        <v>0.126313</v>
      </c>
      <c r="U13" s="4">
        <v>0.006817</v>
      </c>
      <c r="V13" s="3">
        <v>139.628429</v>
      </c>
      <c r="W13" s="3">
        <v>8.120591</v>
      </c>
      <c r="X13" s="2">
        <v>0.0</v>
      </c>
      <c r="Y13" s="3"/>
      <c r="Z13" s="3">
        <v>437.630696</v>
      </c>
      <c r="AA13" s="3">
        <v>4.115234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4.5"/>
  <cols>
    <col min="1" max="1" width="13" customWidth="1"/>
    <col min="2" max="2" width="15" customWidth="1"/>
    <col min="3" max="3" width="17" customWidth="1"/>
    <col min="4" max="4" width="10" customWidth="1"/>
    <col min="5" max="5" width="12" customWidth="1"/>
    <col min="6" max="6" width="17" customWidth="1"/>
    <col min="7" max="7" width="14" customWidth="1"/>
    <col min="8" max="8" width="15" customWidth="1"/>
    <col min="9" max="9" width="13" customWidth="1"/>
    <col min="10" max="10" width="11" customWidth="1"/>
    <col min="11" max="11" width="15" customWidth="1"/>
    <col min="12" max="12" width="15" customWidth="1"/>
    <col min="13" max="13" width="15" customWidth="1"/>
    <col min="14" max="14" width="11" customWidth="1"/>
    <col min="15" max="15" width="12" customWidth="1"/>
    <col min="16" max="16" width="11" customWidth="1"/>
    <col min="17" max="17" width="11" customWidth="1"/>
    <col min="18" max="18" width="11" customWidth="1"/>
    <col min="19" max="19" width="11" customWidth="1"/>
    <col min="20" max="20" width="13" customWidth="1"/>
    <col min="21" max="21" width="14" customWidth="1"/>
    <col min="22" max="22" width="13" customWidth="1"/>
    <col min="23" max="23" width="14" customWidth="1"/>
    <col min="24" max="24" width="13" customWidth="1"/>
    <col min="25" max="25" width="13" customWidth="1"/>
    <col min="26" max="26" width="16" customWidth="1"/>
    <col min="27" max="27" width="14" customWidth="1"/>
  </cols>
  <sheetData>
    <row r="1">
      <c r="A1" s="1" t="inlineStr">
        <is>
          <t xml:space="preserve">condição</t>
        </is>
      </c>
      <c r="B1" s="1" t="inlineStr">
        <is>
          <t xml:space="preserve">canal</t>
        </is>
      </c>
      <c r="C1" s="1" t="inlineStr">
        <is>
          <t xml:space="preserve">perfil</t>
        </is>
      </c>
      <c r="D1" s="1" t="inlineStr">
        <is>
          <t xml:space="preserve">repetições</t>
        </is>
      </c>
      <c r="E1" s="1" t="inlineStr">
        <is>
          <t xml:space="preserve">reps sem dados</t>
        </is>
      </c>
      <c r="F1" s="1" t="inlineStr">
        <is>
          <t xml:space="preserve">estabelecimento (ms)</t>
        </is>
      </c>
      <c r="G1" s="1" t="inlineStr">
        <is>
          <t xml:space="preserve">estab. IQR (ms)</t>
        </is>
      </c>
      <c r="H1" s="1" t="inlineStr">
        <is>
          <t xml:space="preserve">CPU do estab. (ms)</t>
        </is>
      </c>
      <c r="I1" s="1" t="inlineStr">
        <is>
          <t xml:space="preserve">bytes do estab.</t>
        </is>
      </c>
      <c r="J1" s="1" t="inlineStr">
        <is>
          <t xml:space="preserve">mensagens</t>
        </is>
      </c>
      <c r="K1" s="1" t="inlineStr">
        <is>
          <t xml:space="preserve">bytes de aplicação</t>
        </is>
      </c>
      <c r="L1" s="1" t="inlineStr">
        <is>
          <t xml:space="preserve">sobrecarga (B/msg)</t>
        </is>
      </c>
      <c r="M1" s="1" t="inlineStr">
        <is>
          <t xml:space="preserve">origem do atraso</t>
        </is>
      </c>
      <c r="N1" s="1" t="inlineStr">
        <is>
          <t xml:space="preserve">p50 (ms)</t>
        </is>
      </c>
      <c r="O1" s="1" t="inlineStr">
        <is>
          <t xml:space="preserve">p50 IQR (ms)</t>
        </is>
      </c>
      <c r="P1" s="1" t="inlineStr">
        <is>
          <t xml:space="preserve">p95 (ms)</t>
        </is>
      </c>
      <c r="Q1" s="1" t="inlineStr">
        <is>
          <t xml:space="preserve">p99 (ms)</t>
        </is>
      </c>
      <c r="R1" s="1" t="inlineStr">
        <is>
          <t xml:space="preserve">recebidas</t>
        </is>
      </c>
      <c r="S1" s="1" t="inlineStr">
        <is>
          <t xml:space="preserve">entrega (%)</t>
        </is>
      </c>
      <c r="T1" s="1" t="inlineStr">
        <is>
          <t xml:space="preserve">vazão (Mbps)</t>
        </is>
      </c>
      <c r="U1" s="1" t="inlineStr">
        <is>
          <t xml:space="preserve">vazão IQR (Mbps)</t>
        </is>
      </c>
      <c r="V1" s="1" t="inlineStr">
        <is>
          <t xml:space="preserve">CPU/msg (µs)</t>
        </is>
      </c>
      <c r="W1" s="1" t="inlineStr">
        <is>
          <t xml:space="preserve">CPU/msg IQR (µs)</t>
        </is>
      </c>
      <c r="X1" s="1" t="inlineStr">
        <is>
          <t xml:space="preserve">retransmissões</t>
        </is>
      </c>
      <c r="Y1" s="1" t="inlineStr">
        <is>
          <t xml:space="preserve">CPU/retx (µs)</t>
        </is>
      </c>
      <c r="Z1" s="1" t="inlineStr">
        <is>
          <t xml:space="preserve">CPU de verificação (µs)</t>
        </is>
      </c>
      <c r="AA1" s="1" t="inlineStr">
        <is>
          <t xml:space="preserve">RSS de pico (MB)</t>
        </is>
      </c>
    </row>
    <row r="2">
      <c r="A2" s="0" t="inlineStr">
        <is>
          <t xml:space="preserve">clean</t>
        </is>
      </c>
      <c r="B2" s="0" t="inlineStr">
        <is>
          <t xml:space="preserve">C1 claro</t>
        </is>
      </c>
      <c r="C2" s="0" t="inlineStr">
        <is>
          <t xml:space="preserve">UDP puro (sem segurança)</t>
        </is>
      </c>
      <c r="D2" s="2">
        <v>5.0</v>
      </c>
      <c r="E2" s="2">
        <v>0.0</v>
      </c>
      <c r="F2" s="3">
        <v>0.0</v>
      </c>
      <c r="G2" s="3">
        <v>0.0</v>
      </c>
      <c r="H2" s="4">
        <v>0.0</v>
      </c>
      <c r="I2" s="2"/>
      <c r="J2" s="2">
        <v>19200.0</v>
      </c>
      <c r="K2" s="2">
        <v>2457600.0</v>
      </c>
      <c r="L2" s="3">
        <v>0.0</v>
      </c>
      <c r="M2" s="0" t="inlineStr">
        <is>
          <t xml:space="preserve">cliente (RTT)</t>
        </is>
      </c>
      <c r="N2" s="3">
        <v>1.243748</v>
      </c>
      <c r="O2" s="3">
        <v>0.033063</v>
      </c>
      <c r="P2" s="3">
        <v>1.463576</v>
      </c>
      <c r="Q2" s="3">
        <v>2.121407</v>
      </c>
      <c r="R2" s="2">
        <v>19200.0</v>
      </c>
      <c r="S2" s="3">
        <v>100.0</v>
      </c>
      <c r="T2" s="4"/>
      <c r="U2" s="4"/>
      <c r="V2" s="3">
        <v>290.190257</v>
      </c>
      <c r="W2" s="3">
        <v>24.896877</v>
      </c>
      <c r="X2" s="2">
        <v>0.0</v>
      </c>
      <c r="Y2" s="3"/>
      <c r="Z2" s="3">
        <v>69.286322</v>
      </c>
      <c r="AA2" s="3">
        <v>3.007812</v>
      </c>
    </row>
    <row r="3">
      <c r="A3" s="0" t="inlineStr">
        <is>
          <t xml:space="preserve">clean</t>
        </is>
      </c>
      <c r="B3" s="0" t="inlineStr">
        <is>
          <t xml:space="preserve">C2 claro</t>
        </is>
      </c>
      <c r="C3" s="0" t="inlineStr">
        <is>
          <t xml:space="preserve">CoAP confirmável puro (sem segurança)</t>
        </is>
      </c>
      <c r="D3" s="2">
        <v>5.0</v>
      </c>
      <c r="E3" s="2">
        <v>0.0</v>
      </c>
      <c r="F3" s="3">
        <v>1.493503</v>
      </c>
      <c r="G3" s="3">
        <v>0.371003</v>
      </c>
      <c r="H3" s="4">
        <v>0.391489</v>
      </c>
      <c r="I3" s="2"/>
      <c r="J3" s="2">
        <v>150.0</v>
      </c>
      <c r="K3" s="2">
        <v>300.0</v>
      </c>
      <c r="L3" s="3"/>
      <c r="M3" s="0" t="inlineStr">
        <is>
          <t xml:space="preserve">cliente (RTT)</t>
        </is>
      </c>
      <c r="N3" s="3">
        <v>1.315333</v>
      </c>
      <c r="O3" s="3">
        <v>0.040898</v>
      </c>
      <c r="P3" s="3">
        <v>1.627096</v>
      </c>
      <c r="Q3" s="3">
        <v>1.794725</v>
      </c>
      <c r="R3" s="2">
        <v>150.0</v>
      </c>
      <c r="S3" s="3">
        <v>100.0</v>
      </c>
      <c r="T3" s="4"/>
      <c r="U3" s="4"/>
      <c r="V3" s="3">
        <v>408.453333</v>
      </c>
      <c r="W3" s="3">
        <v>56.2284</v>
      </c>
      <c r="X3" s="2">
        <v>0.0</v>
      </c>
      <c r="Y3" s="3"/>
      <c r="Z3" s="3"/>
      <c r="AA3" s="3">
        <v>4.027344</v>
      </c>
    </row>
    <row r="4">
      <c r="A4" s="0" t="inlineStr">
        <is>
          <t xml:space="preserve">clean</t>
        </is>
      </c>
      <c r="B4" s="0" t="inlineStr">
        <is>
          <t xml:space="preserve">C3 claro</t>
        </is>
      </c>
      <c r="C4" s="0" t="inlineStr">
        <is>
          <t xml:space="preserve">RTP sobre UDP puro (sem segurança)</t>
        </is>
      </c>
      <c r="D4" s="2">
        <v>5.0</v>
      </c>
      <c r="E4" s="2">
        <v>0.0</v>
      </c>
      <c r="F4" s="3">
        <v>0.0</v>
      </c>
      <c r="G4" s="3">
        <v>0.0</v>
      </c>
      <c r="H4" s="4">
        <v>0.0</v>
      </c>
      <c r="I4" s="2"/>
      <c r="J4" s="2">
        <v>125000.0</v>
      </c>
      <c r="K4" s="2">
        <v>150000000.0</v>
      </c>
      <c r="L4" s="3">
        <v>12.0</v>
      </c>
      <c r="M4" s="0" t="inlineStr">
        <is>
          <t xml:space="preserve">servidor (unidirecional)</t>
        </is>
      </c>
      <c r="N4" s="3">
        <v>0.286682</v>
      </c>
      <c r="O4" s="3">
        <v>0.0</v>
      </c>
      <c r="P4" s="3">
        <v>0.409533</v>
      </c>
      <c r="Q4" s="3">
        <v>0.496904</v>
      </c>
      <c r="R4" s="2">
        <v>125000.0</v>
      </c>
      <c r="S4" s="3">
        <v>100.0</v>
      </c>
      <c r="T4" s="4"/>
      <c r="U4" s="4"/>
      <c r="V4" s="3">
        <v>247.903802</v>
      </c>
      <c r="W4" s="3">
        <v>30.360916</v>
      </c>
      <c r="X4" s="2">
        <v>0.0</v>
      </c>
      <c r="Y4" s="3"/>
      <c r="Z4" s="3"/>
      <c r="AA4" s="3">
        <v>2.90625</v>
      </c>
    </row>
    <row r="5">
      <c r="A5" s="0" t="inlineStr">
        <is>
          <t xml:space="preserve">clean</t>
        </is>
      </c>
      <c r="B5" s="0" t="inlineStr">
        <is>
          <t xml:space="preserve">C4 claro</t>
        </is>
      </c>
      <c r="C5" s="0" t="inlineStr">
        <is>
          <t xml:space="preserve">TCP puro (sem segurança)</t>
        </is>
      </c>
      <c r="D5" s="2">
        <v>5.0</v>
      </c>
      <c r="E5" s="2">
        <v>0.0</v>
      </c>
      <c r="F5" s="3">
        <v>0.0</v>
      </c>
      <c r="G5" s="3">
        <v>0.0</v>
      </c>
      <c r="H5" s="4">
        <v>0.0</v>
      </c>
      <c r="I5" s="2"/>
      <c r="J5" s="2">
        <v>2565.0</v>
      </c>
      <c r="K5" s="2">
        <v>41943040.0</v>
      </c>
      <c r="L5" s="3">
        <v>0.015595</v>
      </c>
      <c r="M5" s="0" t="inlineStr">
        <is>
          <t xml:space="preserve">cliente (RTT)</t>
        </is>
      </c>
      <c r="N5" s="3">
        <v>180.179779</v>
      </c>
      <c r="O5" s="3">
        <v>46.410461</v>
      </c>
      <c r="P5" s="3">
        <v>180.179779</v>
      </c>
      <c r="Q5" s="3">
        <v>180.179779</v>
      </c>
      <c r="R5" s="2">
        <v>3177.0</v>
      </c>
      <c r="S5" s="3">
        <v>100.0</v>
      </c>
      <c r="T5" s="4">
        <v>369.029729</v>
      </c>
      <c r="U5" s="4">
        <v>104.806427</v>
      </c>
      <c r="V5" s="3">
        <v>298.429784</v>
      </c>
      <c r="W5" s="3">
        <v>93.332673</v>
      </c>
      <c r="X5" s="2">
        <v>0.0</v>
      </c>
      <c r="Y5" s="3"/>
      <c r="Z5" s="3">
        <v>78.937984</v>
      </c>
      <c r="AA5" s="3">
        <v>2.917969</v>
      </c>
    </row>
    <row r="6">
      <c r="A6" s="0" t="inlineStr">
        <is>
          <t xml:space="preserve">3gpp-c2</t>
        </is>
      </c>
      <c r="B6" s="0" t="inlineStr">
        <is>
          <t xml:space="preserve">C1 claro</t>
        </is>
      </c>
      <c r="C6" s="0" t="inlineStr">
        <is>
          <t xml:space="preserve">UDP puro (sem segurança)</t>
        </is>
      </c>
      <c r="D6" s="2">
        <v>5.0</v>
      </c>
      <c r="E6" s="2">
        <v>0.0</v>
      </c>
      <c r="F6" s="3">
        <v>0.0</v>
      </c>
      <c r="G6" s="3">
        <v>0.0</v>
      </c>
      <c r="H6" s="4">
        <v>0.0</v>
      </c>
      <c r="I6" s="2"/>
      <c r="J6" s="2">
        <v>19200.0</v>
      </c>
      <c r="K6" s="2">
        <v>2457600.0</v>
      </c>
      <c r="L6" s="3">
        <v>0.0</v>
      </c>
      <c r="M6" s="0" t="inlineStr">
        <is>
          <t xml:space="preserve">cliente (RTT)</t>
        </is>
      </c>
      <c r="N6" s="3">
        <v>101.533533</v>
      </c>
      <c r="O6" s="3">
        <v>0.039799</v>
      </c>
      <c r="P6" s="3">
        <v>101.72828</v>
      </c>
      <c r="Q6" s="3">
        <v>101.97877</v>
      </c>
      <c r="R6" s="2">
        <v>19183.0</v>
      </c>
      <c r="S6" s="3">
        <v>99.911458</v>
      </c>
      <c r="T6" s="4"/>
      <c r="U6" s="4"/>
      <c r="V6" s="3">
        <v>19.872276</v>
      </c>
      <c r="W6" s="3">
        <v>0.176654</v>
      </c>
      <c r="X6" s="2">
        <v>0.0</v>
      </c>
      <c r="Y6" s="3"/>
      <c r="Z6" s="3">
        <v>58.827517</v>
      </c>
      <c r="AA6" s="3">
        <v>3.007812</v>
      </c>
    </row>
    <row r="7">
      <c r="A7" s="0" t="inlineStr">
        <is>
          <t xml:space="preserve">3gpp-c2</t>
        </is>
      </c>
      <c r="B7" s="0" t="inlineStr">
        <is>
          <t xml:space="preserve">C2 claro</t>
        </is>
      </c>
      <c r="C7" s="0" t="inlineStr">
        <is>
          <t xml:space="preserve">CoAP confirmável puro (sem segurança)</t>
        </is>
      </c>
      <c r="D7" s="2">
        <v>5.0</v>
      </c>
      <c r="E7" s="2">
        <v>0.0</v>
      </c>
      <c r="F7" s="3">
        <v>101.882481</v>
      </c>
      <c r="G7" s="3">
        <v>0.122254</v>
      </c>
      <c r="H7" s="4">
        <v>0.120993</v>
      </c>
      <c r="I7" s="2"/>
      <c r="J7" s="2">
        <v>150.0</v>
      </c>
      <c r="K7" s="2">
        <v>300.0</v>
      </c>
      <c r="L7" s="3"/>
      <c r="M7" s="0" t="inlineStr">
        <is>
          <t xml:space="preserve">cliente (RTT)</t>
        </is>
      </c>
      <c r="N7" s="3">
        <v>101.726133</v>
      </c>
      <c r="O7" s="3">
        <v>0.036738</v>
      </c>
      <c r="P7" s="3">
        <v>102.040966</v>
      </c>
      <c r="Q7" s="3">
        <v>102.237749</v>
      </c>
      <c r="R7" s="2">
        <v>150.0</v>
      </c>
      <c r="S7" s="3">
        <v>100.0</v>
      </c>
      <c r="T7" s="4"/>
      <c r="U7" s="4"/>
      <c r="V7" s="3">
        <v>131.072167</v>
      </c>
      <c r="W7" s="3">
        <v>1.0029</v>
      </c>
      <c r="X7" s="2">
        <v>0.0</v>
      </c>
      <c r="Y7" s="3"/>
      <c r="Z7" s="3"/>
      <c r="AA7" s="3">
        <v>4.011719</v>
      </c>
    </row>
    <row r="8">
      <c r="A8" s="0" t="inlineStr">
        <is>
          <t xml:space="preserve">3gpp-c2</t>
        </is>
      </c>
      <c r="B8" s="0" t="inlineStr">
        <is>
          <t xml:space="preserve">C3 claro</t>
        </is>
      </c>
      <c r="C8" s="0" t="inlineStr">
        <is>
          <t xml:space="preserve">RTP sobre UDP puro (sem segurança)</t>
        </is>
      </c>
      <c r="D8" s="2">
        <v>5.0</v>
      </c>
      <c r="E8" s="2">
        <v>0.0</v>
      </c>
      <c r="F8" s="3">
        <v>0.0</v>
      </c>
      <c r="G8" s="3">
        <v>0.0</v>
      </c>
      <c r="H8" s="4">
        <v>0.0</v>
      </c>
      <c r="I8" s="2"/>
      <c r="J8" s="2">
        <v>125000.0</v>
      </c>
      <c r="K8" s="2">
        <v>150000000.0</v>
      </c>
      <c r="L8" s="3">
        <v>12.0</v>
      </c>
      <c r="M8" s="0" t="inlineStr">
        <is>
          <t xml:space="preserve">servidor (unidirecional)</t>
        </is>
      </c>
      <c r="N8" s="3">
        <v>0.427318</v>
      </c>
      <c r="O8" s="3">
        <v>0.0</v>
      </c>
      <c r="P8" s="3">
        <v>0.578315</v>
      </c>
      <c r="Q8" s="3">
        <v>0.668955</v>
      </c>
      <c r="R8" s="2">
        <v>124880.0</v>
      </c>
      <c r="S8" s="3">
        <v>99.904</v>
      </c>
      <c r="T8" s="4"/>
      <c r="U8" s="4"/>
      <c r="V8" s="3">
        <v>41.10877</v>
      </c>
      <c r="W8" s="3">
        <v>6.211358</v>
      </c>
      <c r="X8" s="2">
        <v>0.0</v>
      </c>
      <c r="Y8" s="3"/>
      <c r="Z8" s="3"/>
      <c r="AA8" s="3">
        <v>2.890625</v>
      </c>
    </row>
    <row r="9">
      <c r="A9" s="0" t="inlineStr">
        <is>
          <t xml:space="preserve">3gpp-c2</t>
        </is>
      </c>
      <c r="B9" s="0" t="inlineStr">
        <is>
          <t xml:space="preserve">C4 claro</t>
        </is>
      </c>
      <c r="C9" s="0" t="inlineStr">
        <is>
          <t xml:space="preserve">TCP puro (sem segurança)</t>
        </is>
      </c>
      <c r="D9" s="2">
        <v>5.0</v>
      </c>
      <c r="E9" s="2">
        <v>0.0</v>
      </c>
      <c r="F9" s="3">
        <v>0.0</v>
      </c>
      <c r="G9" s="3">
        <v>0.0</v>
      </c>
      <c r="H9" s="4">
        <v>0.0</v>
      </c>
      <c r="I9" s="2"/>
      <c r="J9" s="2">
        <v>2565.0</v>
      </c>
      <c r="K9" s="2">
        <v>41943040.0</v>
      </c>
      <c r="L9" s="3">
        <v>0.015595</v>
      </c>
      <c r="M9" s="0" t="inlineStr">
        <is>
          <t xml:space="preserve">cliente (RTT)</t>
        </is>
      </c>
      <c r="N9" s="3">
        <v>1738.059845</v>
      </c>
      <c r="O9" s="3">
        <v>2028.574794</v>
      </c>
      <c r="P9" s="3">
        <v>1738.059845</v>
      </c>
      <c r="Q9" s="3">
        <v>1738.059845</v>
      </c>
      <c r="R9" s="2">
        <v>3193.0</v>
      </c>
      <c r="S9" s="3">
        <v>100.0</v>
      </c>
      <c r="T9" s="4">
        <v>36.46944</v>
      </c>
      <c r="U9" s="4">
        <v>30.378717</v>
      </c>
      <c r="V9" s="3">
        <v>24.998963</v>
      </c>
      <c r="W9" s="3">
        <v>7.698591</v>
      </c>
      <c r="X9" s="2">
        <v>0.0</v>
      </c>
      <c r="Y9" s="3"/>
      <c r="Z9" s="3">
        <v>19.979993</v>
      </c>
      <c r="AA9" s="3">
        <v>2.917969</v>
      </c>
    </row>
    <row r="10">
      <c r="A10" s="0" t="inlineStr">
        <is>
          <t xml:space="preserve">handover</t>
        </is>
      </c>
      <c r="B10" s="0" t="inlineStr">
        <is>
          <t xml:space="preserve">C1 claro</t>
        </is>
      </c>
      <c r="C10" s="0" t="inlineStr">
        <is>
          <t xml:space="preserve">UDP puro (sem segurança)</t>
        </is>
      </c>
      <c r="D10" s="2">
        <v>5.0</v>
      </c>
      <c r="E10" s="2">
        <v>0.0</v>
      </c>
      <c r="F10" s="3">
        <v>0.0</v>
      </c>
      <c r="G10" s="3">
        <v>0.0</v>
      </c>
      <c r="H10" s="4">
        <v>0.0</v>
      </c>
      <c r="I10" s="2"/>
      <c r="J10" s="2">
        <v>19200.0</v>
      </c>
      <c r="K10" s="2">
        <v>2457600.0</v>
      </c>
      <c r="L10" s="3">
        <v>0.0</v>
      </c>
      <c r="M10" s="0" t="inlineStr">
        <is>
          <t xml:space="preserve">cliente (RTT)</t>
        </is>
      </c>
      <c r="N10" s="3">
        <v>401.223424</v>
      </c>
      <c r="O10" s="3">
        <v>0.562525</v>
      </c>
      <c r="P10" s="3">
        <v>429.232349</v>
      </c>
      <c r="Q10" s="3">
        <v>436.72425</v>
      </c>
      <c r="R10" s="2">
        <v>17275.0</v>
      </c>
      <c r="S10" s="3">
        <v>89.973958</v>
      </c>
      <c r="T10" s="4"/>
      <c r="U10" s="4"/>
      <c r="V10" s="3">
        <v>23.243977</v>
      </c>
      <c r="W10" s="3">
        <v>0.82281</v>
      </c>
      <c r="X10" s="2">
        <v>0.0</v>
      </c>
      <c r="Y10" s="3"/>
      <c r="Z10" s="3">
        <v>59.657546</v>
      </c>
      <c r="AA10" s="3">
        <v>3.019531</v>
      </c>
    </row>
    <row r="11">
      <c r="A11" s="0" t="inlineStr">
        <is>
          <t xml:space="preserve">handover</t>
        </is>
      </c>
      <c r="B11" s="0" t="inlineStr">
        <is>
          <t xml:space="preserve">C2 claro</t>
        </is>
      </c>
      <c r="C11" s="0" t="inlineStr">
        <is>
          <t xml:space="preserve">CoAP confirmável puro (sem segurança)</t>
        </is>
      </c>
      <c r="D11" s="2">
        <v>5.0</v>
      </c>
      <c r="E11" s="2">
        <v>0.0</v>
      </c>
      <c r="F11" s="3">
        <v>426.765388</v>
      </c>
      <c r="G11" s="3">
        <v>2539.099218</v>
      </c>
      <c r="H11" s="4">
        <v>0.167143</v>
      </c>
      <c r="I11" s="2"/>
      <c r="J11" s="2">
        <v>134.0</v>
      </c>
      <c r="K11" s="2">
        <v>268.0</v>
      </c>
      <c r="L11" s="3"/>
      <c r="M11" s="0" t="inlineStr">
        <is>
          <t xml:space="preserve">cliente (RTT)</t>
        </is>
      </c>
      <c r="N11" s="3">
        <v>406.795341</v>
      </c>
      <c r="O11" s="3">
        <v>6.115197</v>
      </c>
      <c r="P11" s="3">
        <v>2999.304137</v>
      </c>
      <c r="Q11" s="3">
        <v>7803.715457</v>
      </c>
      <c r="R11" s="2">
        <v>134.0</v>
      </c>
      <c r="S11" s="3">
        <v>100.0</v>
      </c>
      <c r="T11" s="4"/>
      <c r="U11" s="4"/>
      <c r="V11" s="3">
        <v>148.878962</v>
      </c>
      <c r="W11" s="3">
        <v>2.336932</v>
      </c>
      <c r="X11" s="2">
        <v>21.0</v>
      </c>
      <c r="Y11" s="3">
        <v>0.0</v>
      </c>
      <c r="Z11" s="3"/>
      <c r="AA11" s="3">
        <v>4.007812</v>
      </c>
    </row>
    <row r="12">
      <c r="A12" s="0" t="inlineStr">
        <is>
          <t xml:space="preserve">handover</t>
        </is>
      </c>
      <c r="B12" s="0" t="inlineStr">
        <is>
          <t xml:space="preserve">C3 claro</t>
        </is>
      </c>
      <c r="C12" s="0" t="inlineStr">
        <is>
          <t xml:space="preserve">RTP sobre UDP puro (sem segurança)</t>
        </is>
      </c>
      <c r="D12" s="2">
        <v>5.0</v>
      </c>
      <c r="E12" s="2">
        <v>0.0</v>
      </c>
      <c r="F12" s="3">
        <v>0.0</v>
      </c>
      <c r="G12" s="3">
        <v>0.0</v>
      </c>
      <c r="H12" s="4">
        <v>0.0</v>
      </c>
      <c r="I12" s="2"/>
      <c r="J12" s="2">
        <v>125000.0</v>
      </c>
      <c r="K12" s="2">
        <v>150000000.0</v>
      </c>
      <c r="L12" s="3">
        <v>12.0</v>
      </c>
      <c r="M12" s="0" t="inlineStr">
        <is>
          <t xml:space="preserve">servidor (unidirecional)</t>
        </is>
      </c>
      <c r="N12" s="3">
        <v>20.230083</v>
      </c>
      <c r="O12" s="3">
        <v>0.0</v>
      </c>
      <c r="P12" s="3">
        <v>38.249505</v>
      </c>
      <c r="Q12" s="3">
        <v>39.79476</v>
      </c>
      <c r="R12" s="2">
        <v>112498.0</v>
      </c>
      <c r="S12" s="3">
        <v>89.9984</v>
      </c>
      <c r="T12" s="4"/>
      <c r="U12" s="4"/>
      <c r="V12" s="3">
        <v>30.614624</v>
      </c>
      <c r="W12" s="3">
        <v>0.341173</v>
      </c>
      <c r="X12" s="2">
        <v>0.0</v>
      </c>
      <c r="Y12" s="3"/>
      <c r="Z12" s="3"/>
      <c r="AA12" s="3">
        <v>2.902344</v>
      </c>
    </row>
    <row r="13">
      <c r="A13" s="0" t="inlineStr">
        <is>
          <t xml:space="preserve">handover</t>
        </is>
      </c>
      <c r="B13" s="0" t="inlineStr">
        <is>
          <t xml:space="preserve">C4 claro</t>
        </is>
      </c>
      <c r="C13" s="0" t="inlineStr">
        <is>
          <t xml:space="preserve">TCP puro (sem segurança)</t>
        </is>
      </c>
      <c r="D13" s="2">
        <v>5.0</v>
      </c>
      <c r="E13" s="2">
        <v>0.0</v>
      </c>
      <c r="F13" s="3">
        <v>0.0</v>
      </c>
      <c r="G13" s="3">
        <v>0.0</v>
      </c>
      <c r="H13" s="4">
        <v>0.0</v>
      </c>
      <c r="I13" s="2"/>
      <c r="J13" s="2">
        <v>2565.0</v>
      </c>
      <c r="K13" s="2">
        <v>41943040.0</v>
      </c>
      <c r="L13" s="3">
        <v>0.015595</v>
      </c>
      <c r="M13" s="0" t="inlineStr">
        <is>
          <t xml:space="preserve">cliente (RTT)</t>
        </is>
      </c>
      <c r="N13" s="3">
        <v>538639.295968</v>
      </c>
      <c r="O13" s="3">
        <v>18745.533823</v>
      </c>
      <c r="P13" s="3">
        <v>538639.295968</v>
      </c>
      <c r="Q13" s="3">
        <v>538639.295968</v>
      </c>
      <c r="R13" s="2">
        <v>10755.0</v>
      </c>
      <c r="S13" s="3">
        <v>100.0</v>
      </c>
      <c r="T13" s="4">
        <v>0.124497</v>
      </c>
      <c r="U13" s="4">
        <v>0.004358</v>
      </c>
      <c r="V13" s="3">
        <v>22.250655</v>
      </c>
      <c r="W13" s="3">
        <v>19.356476</v>
      </c>
      <c r="X13" s="2">
        <v>0.0</v>
      </c>
      <c r="Y13" s="3"/>
      <c r="Z13" s="3">
        <v>71.399372</v>
      </c>
      <c r="AA13" s="3">
        <v>2.929688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4.5"/>
  <cols>
    <col min="1" max="1" width="13" customWidth="1"/>
    <col min="2" max="2" width="15" customWidth="1"/>
    <col min="3" max="3" width="17" customWidth="1"/>
    <col min="4" max="4" width="10" customWidth="1"/>
    <col min="5" max="5" width="12" customWidth="1"/>
    <col min="6" max="6" width="17" customWidth="1"/>
    <col min="7" max="7" width="14" customWidth="1"/>
    <col min="8" max="8" width="15" customWidth="1"/>
    <col min="9" max="9" width="13" customWidth="1"/>
    <col min="10" max="10" width="11" customWidth="1"/>
    <col min="11" max="11" width="15" customWidth="1"/>
    <col min="12" max="12" width="15" customWidth="1"/>
    <col min="13" max="13" width="15" customWidth="1"/>
    <col min="14" max="14" width="11" customWidth="1"/>
    <col min="15" max="15" width="12" customWidth="1"/>
    <col min="16" max="16" width="11" customWidth="1"/>
    <col min="17" max="17" width="11" customWidth="1"/>
    <col min="18" max="18" width="11" customWidth="1"/>
    <col min="19" max="19" width="11" customWidth="1"/>
    <col min="20" max="20" width="13" customWidth="1"/>
    <col min="21" max="21" width="14" customWidth="1"/>
    <col min="22" max="22" width="13" customWidth="1"/>
    <col min="23" max="23" width="14" customWidth="1"/>
    <col min="24" max="24" width="13" customWidth="1"/>
    <col min="25" max="25" width="13" customWidth="1"/>
    <col min="26" max="26" width="16" customWidth="1"/>
    <col min="27" max="27" width="14" customWidth="1"/>
  </cols>
  <sheetData>
    <row r="1">
      <c r="A1" s="1" t="inlineStr">
        <is>
          <t xml:space="preserve">condição</t>
        </is>
      </c>
      <c r="B1" s="1" t="inlineStr">
        <is>
          <t xml:space="preserve">canal</t>
        </is>
      </c>
      <c r="C1" s="1" t="inlineStr">
        <is>
          <t xml:space="preserve">perfil</t>
        </is>
      </c>
      <c r="D1" s="1" t="inlineStr">
        <is>
          <t xml:space="preserve">repetições</t>
        </is>
      </c>
      <c r="E1" s="1" t="inlineStr">
        <is>
          <t xml:space="preserve">reps sem dados</t>
        </is>
      </c>
      <c r="F1" s="1" t="inlineStr">
        <is>
          <t xml:space="preserve">estabelecimento (ms)</t>
        </is>
      </c>
      <c r="G1" s="1" t="inlineStr">
        <is>
          <t xml:space="preserve">estab. IQR (ms)</t>
        </is>
      </c>
      <c r="H1" s="1" t="inlineStr">
        <is>
          <t xml:space="preserve">CPU do estab. (ms)</t>
        </is>
      </c>
      <c r="I1" s="1" t="inlineStr">
        <is>
          <t xml:space="preserve">bytes do estab.</t>
        </is>
      </c>
      <c r="J1" s="1" t="inlineStr">
        <is>
          <t xml:space="preserve">mensagens</t>
        </is>
      </c>
      <c r="K1" s="1" t="inlineStr">
        <is>
          <t xml:space="preserve">bytes de aplicação</t>
        </is>
      </c>
      <c r="L1" s="1" t="inlineStr">
        <is>
          <t xml:space="preserve">sobrecarga (B/msg)</t>
        </is>
      </c>
      <c r="M1" s="1" t="inlineStr">
        <is>
          <t xml:space="preserve">origem do atraso</t>
        </is>
      </c>
      <c r="N1" s="1" t="inlineStr">
        <is>
          <t xml:space="preserve">p50 (ms)</t>
        </is>
      </c>
      <c r="O1" s="1" t="inlineStr">
        <is>
          <t xml:space="preserve">p50 IQR (ms)</t>
        </is>
      </c>
      <c r="P1" s="1" t="inlineStr">
        <is>
          <t xml:space="preserve">p95 (ms)</t>
        </is>
      </c>
      <c r="Q1" s="1" t="inlineStr">
        <is>
          <t xml:space="preserve">p99 (ms)</t>
        </is>
      </c>
      <c r="R1" s="1" t="inlineStr">
        <is>
          <t xml:space="preserve">recebidas</t>
        </is>
      </c>
      <c r="S1" s="1" t="inlineStr">
        <is>
          <t xml:space="preserve">entrega (%)</t>
        </is>
      </c>
      <c r="T1" s="1" t="inlineStr">
        <is>
          <t xml:space="preserve">vazão (Mbps)</t>
        </is>
      </c>
      <c r="U1" s="1" t="inlineStr">
        <is>
          <t xml:space="preserve">vazão IQR (Mbps)</t>
        </is>
      </c>
      <c r="V1" s="1" t="inlineStr">
        <is>
          <t xml:space="preserve">CPU/msg (µs)</t>
        </is>
      </c>
      <c r="W1" s="1" t="inlineStr">
        <is>
          <t xml:space="preserve">CPU/msg IQR (µs)</t>
        </is>
      </c>
      <c r="X1" s="1" t="inlineStr">
        <is>
          <t xml:space="preserve">retransmissões</t>
        </is>
      </c>
      <c r="Y1" s="1" t="inlineStr">
        <is>
          <t xml:space="preserve">CPU/retx (µs)</t>
        </is>
      </c>
      <c r="Z1" s="1" t="inlineStr">
        <is>
          <t xml:space="preserve">CPU de verificação (µs)</t>
        </is>
      </c>
      <c r="AA1" s="1" t="inlineStr">
        <is>
          <t xml:space="preserve">RSS de pico (MB)</t>
        </is>
      </c>
    </row>
    <row r="2">
      <c r="A2" s="0" t="inlineStr">
        <is>
          <t xml:space="preserve">loss-0</t>
        </is>
      </c>
      <c r="B2" s="0" t="inlineStr">
        <is>
          <t xml:space="preserve">C1 control</t>
        </is>
      </c>
      <c r="C2" s="0" t="inlineStr">
        <is>
          <t xml:space="preserve">DTLS 1.3</t>
        </is>
      </c>
      <c r="D2" s="2">
        <v>5.0</v>
      </c>
      <c r="E2" s="2">
        <v>0.0</v>
      </c>
      <c r="F2" s="3">
        <v>313.351974</v>
      </c>
      <c r="G2" s="3">
        <v>0.839719</v>
      </c>
      <c r="H2" s="4">
        <v>4.862182</v>
      </c>
      <c r="I2" s="2">
        <v>4588.0</v>
      </c>
      <c r="J2" s="2">
        <v>19200.0</v>
      </c>
      <c r="K2" s="2">
        <v>2457600.0</v>
      </c>
      <c r="L2" s="3">
        <v>22.016667</v>
      </c>
      <c r="M2" s="0" t="inlineStr">
        <is>
          <t xml:space="preserve">cliente (RTT)</t>
        </is>
      </c>
      <c r="N2" s="3">
        <v>101.607955</v>
      </c>
      <c r="O2" s="3">
        <v>0.013335</v>
      </c>
      <c r="P2" s="3">
        <v>101.821518</v>
      </c>
      <c r="Q2" s="3">
        <v>102.112309</v>
      </c>
      <c r="R2" s="2">
        <v>19200.0</v>
      </c>
      <c r="S2" s="3">
        <v>100.0</v>
      </c>
      <c r="T2" s="4"/>
      <c r="U2" s="4"/>
      <c r="V2" s="3">
        <v>38.681425</v>
      </c>
      <c r="W2" s="3">
        <v>0.682091</v>
      </c>
      <c r="X2" s="2">
        <v>0.0</v>
      </c>
      <c r="Y2" s="3"/>
      <c r="Z2" s="3">
        <v>86.861633</v>
      </c>
      <c r="AA2" s="3">
        <v>4.238281</v>
      </c>
    </row>
    <row r="3">
      <c r="A3" s="0" t="inlineStr">
        <is>
          <t xml:space="preserve">loss-0</t>
        </is>
      </c>
      <c r="B3" s="0" t="inlineStr">
        <is>
          <t xml:space="preserve">C2 telemetry</t>
        </is>
      </c>
      <c r="C3" s="0" t="inlineStr">
        <is>
          <t xml:space="preserve">OSCORE sobre CoAP</t>
        </is>
      </c>
      <c r="D3" s="2">
        <v>5.0</v>
      </c>
      <c r="E3" s="2">
        <v>0.0</v>
      </c>
      <c r="F3" s="3">
        <v>102.436528</v>
      </c>
      <c r="G3" s="3">
        <v>0.104235</v>
      </c>
      <c r="H3" s="4">
        <v>0.502953</v>
      </c>
      <c r="I3" s="2"/>
      <c r="J3" s="2">
        <v>150.0</v>
      </c>
      <c r="K3" s="2">
        <v>300.0</v>
      </c>
      <c r="L3" s="3"/>
      <c r="M3" s="0" t="inlineStr">
        <is>
          <t xml:space="preserve">cliente (RTT)</t>
        </is>
      </c>
      <c r="N3" s="3">
        <v>102.302347</v>
      </c>
      <c r="O3" s="3">
        <v>0.091481</v>
      </c>
      <c r="P3" s="3">
        <v>103.10241</v>
      </c>
      <c r="Q3" s="3">
        <v>103.208861</v>
      </c>
      <c r="R3" s="2">
        <v>150.0</v>
      </c>
      <c r="S3" s="3">
        <v>100.0</v>
      </c>
      <c r="T3" s="4"/>
      <c r="U3" s="4"/>
      <c r="V3" s="3">
        <v>589.149133</v>
      </c>
      <c r="W3" s="3">
        <v>33.310833</v>
      </c>
      <c r="X3" s="2">
        <v>0.0</v>
      </c>
      <c r="Y3" s="3"/>
      <c r="Z3" s="3"/>
      <c r="AA3" s="3">
        <v>4.199219</v>
      </c>
    </row>
    <row r="4">
      <c r="A4" s="0" t="inlineStr">
        <is>
          <t xml:space="preserve">loss-0</t>
        </is>
      </c>
      <c r="B4" s="0" t="inlineStr">
        <is>
          <t xml:space="preserve">C3 media</t>
        </is>
      </c>
      <c r="C4" s="0" t="inlineStr">
        <is>
          <t xml:space="preserve">handshake DTLS 1.3 + SRTP na mídia</t>
        </is>
      </c>
      <c r="D4" s="2">
        <v>5.0</v>
      </c>
      <c r="E4" s="2">
        <v>0.0</v>
      </c>
      <c r="F4" s="3">
        <v>312.857918</v>
      </c>
      <c r="G4" s="3">
        <v>1.00007</v>
      </c>
      <c r="H4" s="4">
        <v>4.946416</v>
      </c>
      <c r="I4" s="2">
        <v>4611.0</v>
      </c>
      <c r="J4" s="2">
        <v>125000.0</v>
      </c>
      <c r="K4" s="2">
        <v>150000000.0</v>
      </c>
      <c r="L4" s="3">
        <v>28.00096</v>
      </c>
      <c r="M4" s="0" t="inlineStr">
        <is>
          <t xml:space="preserve">servidor (unidirecional)</t>
        </is>
      </c>
      <c r="N4" s="3">
        <v>0.435803</v>
      </c>
      <c r="O4" s="3">
        <v>0.0</v>
      </c>
      <c r="P4" s="3">
        <v>0.707139</v>
      </c>
      <c r="Q4" s="3">
        <v>14.56563</v>
      </c>
      <c r="R4" s="2">
        <v>124878.0</v>
      </c>
      <c r="S4" s="3">
        <v>99.9024</v>
      </c>
      <c r="T4" s="4"/>
      <c r="U4" s="4"/>
      <c r="V4" s="3">
        <v>85.411722</v>
      </c>
      <c r="W4" s="3">
        <v>4.04611</v>
      </c>
      <c r="X4" s="2">
        <v>0.0</v>
      </c>
      <c r="Y4" s="3"/>
      <c r="Z4" s="3">
        <v>31.724446</v>
      </c>
      <c r="AA4" s="3">
        <v>6.882812</v>
      </c>
    </row>
    <row r="5">
      <c r="A5" s="0" t="inlineStr">
        <is>
          <t xml:space="preserve">loss-0</t>
        </is>
      </c>
      <c r="B5" s="0" t="inlineStr">
        <is>
          <t xml:space="preserve">C4 bulk</t>
        </is>
      </c>
      <c r="C5" s="0" t="inlineStr">
        <is>
          <t xml:space="preserve">TLS 1.3</t>
        </is>
      </c>
      <c r="D5" s="2">
        <v>5.0</v>
      </c>
      <c r="E5" s="2">
        <v>0.0</v>
      </c>
      <c r="F5" s="3">
        <v>206.187432</v>
      </c>
      <c r="G5" s="3">
        <v>0.947489</v>
      </c>
      <c r="H5" s="4">
        <v>2.574639</v>
      </c>
      <c r="I5" s="2">
        <v>2941.0</v>
      </c>
      <c r="J5" s="2">
        <v>2565.0</v>
      </c>
      <c r="K5" s="2">
        <v>41943040.0</v>
      </c>
      <c r="L5" s="3">
        <v>22.062378</v>
      </c>
      <c r="M5" s="0" t="inlineStr">
        <is>
          <t xml:space="preserve">cliente (RTT)</t>
        </is>
      </c>
      <c r="N5" s="3">
        <v>1363.803866</v>
      </c>
      <c r="O5" s="3">
        <v>9554.084162</v>
      </c>
      <c r="P5" s="3">
        <v>1363.803866</v>
      </c>
      <c r="Q5" s="3">
        <v>1363.803866</v>
      </c>
      <c r="R5" s="2">
        <v>2560.0</v>
      </c>
      <c r="S5" s="3">
        <v>100.0</v>
      </c>
      <c r="T5" s="4">
        <v>40.130168</v>
      </c>
      <c r="U5" s="4">
        <v>37.779231</v>
      </c>
      <c r="V5" s="3">
        <v>221.249858</v>
      </c>
      <c r="W5" s="3">
        <v>56.076123</v>
      </c>
      <c r="X5" s="2">
        <v>0.0</v>
      </c>
      <c r="Y5" s="3"/>
      <c r="Z5" s="3">
        <v>462.750471</v>
      </c>
      <c r="AA5" s="3">
        <v>4.164062</v>
      </c>
    </row>
    <row r="6">
      <c r="A6" s="0" t="inlineStr">
        <is>
          <t xml:space="preserve">loss-0.1</t>
        </is>
      </c>
      <c r="B6" s="0" t="inlineStr">
        <is>
          <t xml:space="preserve">C1 control</t>
        </is>
      </c>
      <c r="C6" s="0" t="inlineStr">
        <is>
          <t xml:space="preserve">DTLS 1.3</t>
        </is>
      </c>
      <c r="D6" s="2">
        <v>5.0</v>
      </c>
      <c r="E6" s="2">
        <v>0.0</v>
      </c>
      <c r="F6" s="3">
        <v>313.976127</v>
      </c>
      <c r="G6" s="3">
        <v>3.685278</v>
      </c>
      <c r="H6" s="4">
        <v>5.038733</v>
      </c>
      <c r="I6" s="2">
        <v>4588.0</v>
      </c>
      <c r="J6" s="2">
        <v>19200.0</v>
      </c>
      <c r="K6" s="2">
        <v>2457600.0</v>
      </c>
      <c r="L6" s="3">
        <v>22.016667</v>
      </c>
      <c r="M6" s="0" t="inlineStr">
        <is>
          <t xml:space="preserve">cliente (RTT)</t>
        </is>
      </c>
      <c r="N6" s="3">
        <v>101.692233</v>
      </c>
      <c r="O6" s="3">
        <v>0.030834</v>
      </c>
      <c r="P6" s="3">
        <v>101.894512</v>
      </c>
      <c r="Q6" s="3">
        <v>102.209096</v>
      </c>
      <c r="R6" s="2">
        <v>19182.0</v>
      </c>
      <c r="S6" s="3">
        <v>99.90625</v>
      </c>
      <c r="T6" s="4"/>
      <c r="U6" s="4"/>
      <c r="V6" s="3">
        <v>39.293472</v>
      </c>
      <c r="W6" s="3">
        <v>0.363233</v>
      </c>
      <c r="X6" s="2">
        <v>0.0</v>
      </c>
      <c r="Y6" s="3"/>
      <c r="Z6" s="3">
        <v>96.910079</v>
      </c>
      <c r="AA6" s="3">
        <v>4.21875</v>
      </c>
    </row>
    <row r="7">
      <c r="A7" s="0" t="inlineStr">
        <is>
          <t xml:space="preserve">loss-0.1</t>
        </is>
      </c>
      <c r="B7" s="0" t="inlineStr">
        <is>
          <t xml:space="preserve">C2 telemetry</t>
        </is>
      </c>
      <c r="C7" s="0" t="inlineStr">
        <is>
          <t xml:space="preserve">OSCORE sobre CoAP</t>
        </is>
      </c>
      <c r="D7" s="2">
        <v>5.0</v>
      </c>
      <c r="E7" s="2">
        <v>0.0</v>
      </c>
      <c r="F7" s="3">
        <v>102.638402</v>
      </c>
      <c r="G7" s="3">
        <v>0.314129</v>
      </c>
      <c r="H7" s="4">
        <v>0.603353</v>
      </c>
      <c r="I7" s="2"/>
      <c r="J7" s="2">
        <v>150.0</v>
      </c>
      <c r="K7" s="2">
        <v>300.0</v>
      </c>
      <c r="L7" s="3"/>
      <c r="M7" s="0" t="inlineStr">
        <is>
          <t xml:space="preserve">cliente (RTT)</t>
        </is>
      </c>
      <c r="N7" s="3">
        <v>102.313491</v>
      </c>
      <c r="O7" s="3">
        <v>0.04571</v>
      </c>
      <c r="P7" s="3">
        <v>103.006756</v>
      </c>
      <c r="Q7" s="3">
        <v>103.303773</v>
      </c>
      <c r="R7" s="2">
        <v>150.0</v>
      </c>
      <c r="S7" s="3">
        <v>100.0</v>
      </c>
      <c r="T7" s="4"/>
      <c r="U7" s="4"/>
      <c r="V7" s="3">
        <v>613.7193</v>
      </c>
      <c r="W7" s="3">
        <v>33.140567</v>
      </c>
      <c r="X7" s="2">
        <v>0.0</v>
      </c>
      <c r="Y7" s="3"/>
      <c r="Z7" s="3"/>
      <c r="AA7" s="3">
        <v>4.164062</v>
      </c>
    </row>
    <row r="8">
      <c r="A8" s="0" t="inlineStr">
        <is>
          <t xml:space="preserve">loss-0.1</t>
        </is>
      </c>
      <c r="B8" s="0" t="inlineStr">
        <is>
          <t xml:space="preserve">C3 media</t>
        </is>
      </c>
      <c r="C8" s="0" t="inlineStr">
        <is>
          <t xml:space="preserve">handshake DTLS 1.3 + SRTP na mídia</t>
        </is>
      </c>
      <c r="D8" s="2">
        <v>5.0</v>
      </c>
      <c r="E8" s="2">
        <v>0.0</v>
      </c>
      <c r="F8" s="3">
        <v>313.48607</v>
      </c>
      <c r="G8" s="3">
        <v>12.858424</v>
      </c>
      <c r="H8" s="4">
        <v>4.779659</v>
      </c>
      <c r="I8" s="2">
        <v>4611.0</v>
      </c>
      <c r="J8" s="2">
        <v>125000.0</v>
      </c>
      <c r="K8" s="2">
        <v>150000000.0</v>
      </c>
      <c r="L8" s="3">
        <v>28.00096</v>
      </c>
      <c r="M8" s="0" t="inlineStr">
        <is>
          <t xml:space="preserve">servidor (unidirecional)</t>
        </is>
      </c>
      <c r="N8" s="3">
        <v>0.438587</v>
      </c>
      <c r="O8" s="3">
        <v>0.0</v>
      </c>
      <c r="P8" s="3">
        <v>0.662623</v>
      </c>
      <c r="Q8" s="3">
        <v>3.729359</v>
      </c>
      <c r="R8" s="2">
        <v>124870.0</v>
      </c>
      <c r="S8" s="3">
        <v>99.896</v>
      </c>
      <c r="T8" s="4"/>
      <c r="U8" s="4"/>
      <c r="V8" s="3">
        <v>85.80832</v>
      </c>
      <c r="W8" s="3">
        <v>2.82866</v>
      </c>
      <c r="X8" s="2">
        <v>0.0</v>
      </c>
      <c r="Y8" s="3"/>
      <c r="Z8" s="3">
        <v>31.174026</v>
      </c>
      <c r="AA8" s="3">
        <v>6.886719</v>
      </c>
    </row>
    <row r="9">
      <c r="A9" s="0" t="inlineStr">
        <is>
          <t xml:space="preserve">loss-0.1</t>
        </is>
      </c>
      <c r="B9" s="0" t="inlineStr">
        <is>
          <t xml:space="preserve">C4 bulk</t>
        </is>
      </c>
      <c r="C9" s="0" t="inlineStr">
        <is>
          <t xml:space="preserve">TLS 1.3</t>
        </is>
      </c>
      <c r="D9" s="2">
        <v>5.0</v>
      </c>
      <c r="E9" s="2">
        <v>0.0</v>
      </c>
      <c r="F9" s="3">
        <v>205.787517</v>
      </c>
      <c r="G9" s="3">
        <v>0.547689</v>
      </c>
      <c r="H9" s="4">
        <v>2.35928</v>
      </c>
      <c r="I9" s="2">
        <v>2941.0</v>
      </c>
      <c r="J9" s="2">
        <v>2565.0</v>
      </c>
      <c r="K9" s="2">
        <v>41943040.0</v>
      </c>
      <c r="L9" s="3">
        <v>22.062378</v>
      </c>
      <c r="M9" s="0" t="inlineStr">
        <is>
          <t xml:space="preserve">cliente (RTT)</t>
        </is>
      </c>
      <c r="N9" s="3">
        <v>1230.965539</v>
      </c>
      <c r="O9" s="3">
        <v>10.418972</v>
      </c>
      <c r="P9" s="3">
        <v>1230.965539</v>
      </c>
      <c r="Q9" s="3">
        <v>1230.965539</v>
      </c>
      <c r="R9" s="2">
        <v>2560.0</v>
      </c>
      <c r="S9" s="3">
        <v>100.0</v>
      </c>
      <c r="T9" s="4">
        <v>43.616847</v>
      </c>
      <c r="U9" s="4">
        <v>0.278676</v>
      </c>
      <c r="V9" s="3">
        <v>222.763312</v>
      </c>
      <c r="W9" s="3">
        <v>81.438402</v>
      </c>
      <c r="X9" s="2">
        <v>0.0</v>
      </c>
      <c r="Y9" s="3"/>
      <c r="Z9" s="3">
        <v>449.091368</v>
      </c>
      <c r="AA9" s="3">
        <v>4.15625</v>
      </c>
    </row>
    <row r="10">
      <c r="A10" s="0" t="inlineStr">
        <is>
          <t xml:space="preserve">loss-1</t>
        </is>
      </c>
      <c r="B10" s="0" t="inlineStr">
        <is>
          <t xml:space="preserve">C1 control</t>
        </is>
      </c>
      <c r="C10" s="0" t="inlineStr">
        <is>
          <t xml:space="preserve">DTLS 1.3</t>
        </is>
      </c>
      <c r="D10" s="2">
        <v>5.0</v>
      </c>
      <c r="E10" s="2">
        <v>0.0</v>
      </c>
      <c r="F10" s="3">
        <v>312.938619</v>
      </c>
      <c r="G10" s="3">
        <v>0.090569</v>
      </c>
      <c r="H10" s="4">
        <v>4.785072</v>
      </c>
      <c r="I10" s="2">
        <v>4588.0</v>
      </c>
      <c r="J10" s="2">
        <v>19200.0</v>
      </c>
      <c r="K10" s="2">
        <v>2457600.0</v>
      </c>
      <c r="L10" s="3">
        <v>22.016667</v>
      </c>
      <c r="M10" s="0" t="inlineStr">
        <is>
          <t xml:space="preserve">cliente (RTT)</t>
        </is>
      </c>
      <c r="N10" s="3">
        <v>101.67378</v>
      </c>
      <c r="O10" s="3">
        <v>0.064075</v>
      </c>
      <c r="P10" s="3">
        <v>101.885044</v>
      </c>
      <c r="Q10" s="3">
        <v>102.209198</v>
      </c>
      <c r="R10" s="2">
        <v>19020.0</v>
      </c>
      <c r="S10" s="3">
        <v>99.0625</v>
      </c>
      <c r="T10" s="4"/>
      <c r="U10" s="4"/>
      <c r="V10" s="3">
        <v>38.955074</v>
      </c>
      <c r="W10" s="3">
        <v>0.412337</v>
      </c>
      <c r="X10" s="2">
        <v>0.0</v>
      </c>
      <c r="Y10" s="3"/>
      <c r="Z10" s="3">
        <v>85.514227</v>
      </c>
      <c r="AA10" s="3">
        <v>4.242188</v>
      </c>
    </row>
    <row r="11">
      <c r="A11" s="0" t="inlineStr">
        <is>
          <t xml:space="preserve">loss-1</t>
        </is>
      </c>
      <c r="B11" s="0" t="inlineStr">
        <is>
          <t xml:space="preserve">C2 telemetry</t>
        </is>
      </c>
      <c r="C11" s="0" t="inlineStr">
        <is>
          <t xml:space="preserve">OSCORE sobre CoAP</t>
        </is>
      </c>
      <c r="D11" s="2">
        <v>5.0</v>
      </c>
      <c r="E11" s="2">
        <v>0.0</v>
      </c>
      <c r="F11" s="3">
        <v>102.311636</v>
      </c>
      <c r="G11" s="3">
        <v>0.370332</v>
      </c>
      <c r="H11" s="4">
        <v>0.596035</v>
      </c>
      <c r="I11" s="2"/>
      <c r="J11" s="2">
        <v>150.0</v>
      </c>
      <c r="K11" s="2">
        <v>300.0</v>
      </c>
      <c r="L11" s="3"/>
      <c r="M11" s="0" t="inlineStr">
        <is>
          <t xml:space="preserve">cliente (RTT)</t>
        </is>
      </c>
      <c r="N11" s="3">
        <v>102.23944</v>
      </c>
      <c r="O11" s="3">
        <v>0.08362</v>
      </c>
      <c r="P11" s="3">
        <v>103.111751</v>
      </c>
      <c r="Q11" s="3">
        <v>103.490824</v>
      </c>
      <c r="R11" s="2">
        <v>150.0</v>
      </c>
      <c r="S11" s="3">
        <v>100.0</v>
      </c>
      <c r="T11" s="4"/>
      <c r="U11" s="4"/>
      <c r="V11" s="3">
        <v>609.936</v>
      </c>
      <c r="W11" s="3">
        <v>13.131133</v>
      </c>
      <c r="X11" s="2">
        <v>3.0</v>
      </c>
      <c r="Y11" s="3">
        <v>0.0</v>
      </c>
      <c r="Z11" s="3"/>
      <c r="AA11" s="3">
        <v>4.207031</v>
      </c>
    </row>
    <row r="12">
      <c r="A12" s="0" t="inlineStr">
        <is>
          <t xml:space="preserve">loss-1</t>
        </is>
      </c>
      <c r="B12" s="0" t="inlineStr">
        <is>
          <t xml:space="preserve">C3 media</t>
        </is>
      </c>
      <c r="C12" s="0" t="inlineStr">
        <is>
          <t xml:space="preserve">handshake DTLS 1.3 + SRTP na mídia</t>
        </is>
      </c>
      <c r="D12" s="2">
        <v>5.0</v>
      </c>
      <c r="E12" s="2">
        <v>0.0</v>
      </c>
      <c r="F12" s="3">
        <v>313.019611</v>
      </c>
      <c r="G12" s="3">
        <v>0.40363</v>
      </c>
      <c r="H12" s="4">
        <v>5.093574</v>
      </c>
      <c r="I12" s="2">
        <v>4611.0</v>
      </c>
      <c r="J12" s="2">
        <v>125000.0</v>
      </c>
      <c r="K12" s="2">
        <v>150000000.0</v>
      </c>
      <c r="L12" s="3">
        <v>28.00096</v>
      </c>
      <c r="M12" s="0" t="inlineStr">
        <is>
          <t xml:space="preserve">servidor (unidirecional)</t>
        </is>
      </c>
      <c r="N12" s="3">
        <v>0.419905</v>
      </c>
      <c r="O12" s="3">
        <v>0.0</v>
      </c>
      <c r="P12" s="3">
        <v>0.606825</v>
      </c>
      <c r="Q12" s="3">
        <v>0.703218</v>
      </c>
      <c r="R12" s="2">
        <v>123768.0</v>
      </c>
      <c r="S12" s="3">
        <v>99.0144</v>
      </c>
      <c r="T12" s="4"/>
      <c r="U12" s="4"/>
      <c r="V12" s="3">
        <v>81.811726</v>
      </c>
      <c r="W12" s="3">
        <v>3.646453</v>
      </c>
      <c r="X12" s="2">
        <v>0.0</v>
      </c>
      <c r="Y12" s="3"/>
      <c r="Z12" s="3">
        <v>30.279671</v>
      </c>
      <c r="AA12" s="3">
        <v>6.855469</v>
      </c>
    </row>
    <row r="13">
      <c r="A13" s="0" t="inlineStr">
        <is>
          <t xml:space="preserve">loss-1</t>
        </is>
      </c>
      <c r="B13" s="0" t="inlineStr">
        <is>
          <t xml:space="preserve">C4 bulk</t>
        </is>
      </c>
      <c r="C13" s="0" t="inlineStr">
        <is>
          <t xml:space="preserve">TLS 1.3</t>
        </is>
      </c>
      <c r="D13" s="2">
        <v>5.0</v>
      </c>
      <c r="E13" s="2">
        <v>0.0</v>
      </c>
      <c r="F13" s="3">
        <v>205.500664</v>
      </c>
      <c r="G13" s="3">
        <v>0.231936</v>
      </c>
      <c r="H13" s="4">
        <v>2.332624</v>
      </c>
      <c r="I13" s="2">
        <v>2941.0</v>
      </c>
      <c r="J13" s="2">
        <v>2565.0</v>
      </c>
      <c r="K13" s="2">
        <v>41943040.0</v>
      </c>
      <c r="L13" s="3">
        <v>22.062378</v>
      </c>
      <c r="M13" s="0" t="inlineStr">
        <is>
          <t xml:space="preserve">cliente (RTT)</t>
        </is>
      </c>
      <c r="N13" s="3">
        <v>29828.95625</v>
      </c>
      <c r="O13" s="3">
        <v>4845.60753</v>
      </c>
      <c r="P13" s="3">
        <v>29828.95625</v>
      </c>
      <c r="Q13" s="3">
        <v>29828.95625</v>
      </c>
      <c r="R13" s="2">
        <v>2560.0</v>
      </c>
      <c r="S13" s="3">
        <v>100.0</v>
      </c>
      <c r="T13" s="4">
        <v>2.226818</v>
      </c>
      <c r="U13" s="4">
        <v>0.394673</v>
      </c>
      <c r="V13" s="3">
        <v>209.551986</v>
      </c>
      <c r="W13" s="3">
        <v>7.579558</v>
      </c>
      <c r="X13" s="2">
        <v>0.0</v>
      </c>
      <c r="Y13" s="3"/>
      <c r="Z13" s="3">
        <v>472.013715</v>
      </c>
      <c r="AA13" s="3">
        <v>4.148438</v>
      </c>
    </row>
    <row r="14">
      <c r="A14" s="0" t="inlineStr">
        <is>
          <t xml:space="preserve">loss-5</t>
        </is>
      </c>
      <c r="B14" s="0" t="inlineStr">
        <is>
          <t xml:space="preserve">C1 control</t>
        </is>
      </c>
      <c r="C14" s="0" t="inlineStr">
        <is>
          <t xml:space="preserve">DTLS 1.3</t>
        </is>
      </c>
      <c r="D14" s="2">
        <v>5.0</v>
      </c>
      <c r="E14" s="2">
        <v>0.0</v>
      </c>
      <c r="F14" s="3">
        <v>313.454991</v>
      </c>
      <c r="G14" s="3">
        <v>1027.132797</v>
      </c>
      <c r="H14" s="4">
        <v>5.004243</v>
      </c>
      <c r="I14" s="2">
        <v>4588.0</v>
      </c>
      <c r="J14" s="2">
        <v>19200.0</v>
      </c>
      <c r="K14" s="2">
        <v>2457600.0</v>
      </c>
      <c r="L14" s="3">
        <v>22.014583</v>
      </c>
      <c r="M14" s="0" t="inlineStr">
        <is>
          <t xml:space="preserve">cliente (RTT)</t>
        </is>
      </c>
      <c r="N14" s="3">
        <v>101.636056</v>
      </c>
      <c r="O14" s="3">
        <v>0.04248</v>
      </c>
      <c r="P14" s="3">
        <v>101.844678</v>
      </c>
      <c r="Q14" s="3">
        <v>102.157404</v>
      </c>
      <c r="R14" s="2">
        <v>18231.0</v>
      </c>
      <c r="S14" s="3">
        <v>94.953125</v>
      </c>
      <c r="T14" s="4"/>
      <c r="U14" s="4"/>
      <c r="V14" s="3">
        <v>40.854147</v>
      </c>
      <c r="W14" s="3">
        <v>1.045628</v>
      </c>
      <c r="X14" s="2">
        <v>0.0</v>
      </c>
      <c r="Y14" s="3"/>
      <c r="Z14" s="3">
        <v>86.880051</v>
      </c>
      <c r="AA14" s="3">
        <v>4.191406</v>
      </c>
    </row>
    <row r="15">
      <c r="A15" s="0" t="inlineStr">
        <is>
          <t xml:space="preserve">loss-5</t>
        </is>
      </c>
      <c r="B15" s="0" t="inlineStr">
        <is>
          <t xml:space="preserve">C2 telemetry</t>
        </is>
      </c>
      <c r="C15" s="0" t="inlineStr">
        <is>
          <t xml:space="preserve">OSCORE sobre CoAP</t>
        </is>
      </c>
      <c r="D15" s="2">
        <v>5.0</v>
      </c>
      <c r="E15" s="2">
        <v>0.0</v>
      </c>
      <c r="F15" s="3">
        <v>102.480255</v>
      </c>
      <c r="G15" s="3">
        <v>2375.237734</v>
      </c>
      <c r="H15" s="4">
        <v>0.673219</v>
      </c>
      <c r="I15" s="2"/>
      <c r="J15" s="2">
        <v>139.0</v>
      </c>
      <c r="K15" s="2">
        <v>278.0</v>
      </c>
      <c r="L15" s="3"/>
      <c r="M15" s="0" t="inlineStr">
        <is>
          <t xml:space="preserve">cliente (RTT)</t>
        </is>
      </c>
      <c r="N15" s="3">
        <v>102.229278</v>
      </c>
      <c r="O15" s="3">
        <v>0.068445</v>
      </c>
      <c r="P15" s="3">
        <v>2977.889415</v>
      </c>
      <c r="Q15" s="3">
        <v>3071.332489</v>
      </c>
      <c r="R15" s="2">
        <v>139.0</v>
      </c>
      <c r="S15" s="3">
        <v>100.0</v>
      </c>
      <c r="T15" s="4"/>
      <c r="U15" s="4"/>
      <c r="V15" s="3">
        <v>610.225433</v>
      </c>
      <c r="W15" s="3">
        <v>7.165875</v>
      </c>
      <c r="X15" s="2">
        <v>18.0</v>
      </c>
      <c r="Y15" s="3">
        <v>0.0</v>
      </c>
      <c r="Z15" s="3"/>
      <c r="AA15" s="3">
        <v>4.15625</v>
      </c>
    </row>
    <row r="16">
      <c r="A16" s="0" t="inlineStr">
        <is>
          <t xml:space="preserve">loss-5</t>
        </is>
      </c>
      <c r="B16" s="0" t="inlineStr">
        <is>
          <t xml:space="preserve">C3 media</t>
        </is>
      </c>
      <c r="C16" s="0" t="inlineStr">
        <is>
          <t xml:space="preserve">handshake DTLS 1.3 + SRTP na mídia</t>
        </is>
      </c>
      <c r="D16" s="2">
        <v>5.0</v>
      </c>
      <c r="E16" s="2">
        <v>0.0</v>
      </c>
      <c r="F16" s="3">
        <v>669.856363</v>
      </c>
      <c r="G16" s="3">
        <v>358.31622</v>
      </c>
      <c r="H16" s="4">
        <v>5.036189</v>
      </c>
      <c r="I16" s="2">
        <v>4683.0</v>
      </c>
      <c r="J16" s="2">
        <v>125000.0</v>
      </c>
      <c r="K16" s="2">
        <v>150000000.0</v>
      </c>
      <c r="L16" s="3">
        <v>28.00096</v>
      </c>
      <c r="M16" s="0" t="inlineStr">
        <is>
          <t xml:space="preserve">servidor (unidirecional)</t>
        </is>
      </c>
      <c r="N16" s="3">
        <v>0.439787</v>
      </c>
      <c r="O16" s="3">
        <v>0.0</v>
      </c>
      <c r="P16" s="3">
        <v>0.618008</v>
      </c>
      <c r="Q16" s="3">
        <v>0.717676</v>
      </c>
      <c r="R16" s="2">
        <v>118780.0</v>
      </c>
      <c r="S16" s="3">
        <v>95.024</v>
      </c>
      <c r="T16" s="4"/>
      <c r="U16" s="4"/>
      <c r="V16" s="3">
        <v>81.407919</v>
      </c>
      <c r="W16" s="3">
        <v>0.881941</v>
      </c>
      <c r="X16" s="2">
        <v>0.0</v>
      </c>
      <c r="Y16" s="3"/>
      <c r="Z16" s="3">
        <v>29.836409</v>
      </c>
      <c r="AA16" s="3">
        <v>6.898438</v>
      </c>
    </row>
    <row r="17">
      <c r="A17" s="0" t="inlineStr">
        <is>
          <t xml:space="preserve">loss-5</t>
        </is>
      </c>
      <c r="B17" s="0" t="inlineStr">
        <is>
          <t xml:space="preserve">C4 bulk</t>
        </is>
      </c>
      <c r="C17" s="0" t="inlineStr">
        <is>
          <t xml:space="preserve">TLS 1.3</t>
        </is>
      </c>
      <c r="D17" s="2">
        <v>5.0</v>
      </c>
      <c r="E17" s="2">
        <v>0.0</v>
      </c>
      <c r="F17" s="3">
        <v>205.85148</v>
      </c>
      <c r="G17" s="3">
        <v>0.332138</v>
      </c>
      <c r="H17" s="4">
        <v>2.269711</v>
      </c>
      <c r="I17" s="2">
        <v>2941.0</v>
      </c>
      <c r="J17" s="2">
        <v>2565.0</v>
      </c>
      <c r="K17" s="2">
        <v>41943040.0</v>
      </c>
      <c r="L17" s="3">
        <v>22.062378</v>
      </c>
      <c r="M17" s="0" t="inlineStr">
        <is>
          <t xml:space="preserve">cliente (RTT)</t>
        </is>
      </c>
      <c r="N17" s="3">
        <v>95576.778995</v>
      </c>
      <c r="O17" s="3">
        <v>12972.000872</v>
      </c>
      <c r="P17" s="3">
        <v>95576.778995</v>
      </c>
      <c r="Q17" s="3">
        <v>95576.778995</v>
      </c>
      <c r="R17" s="2">
        <v>2560.0</v>
      </c>
      <c r="S17" s="3">
        <v>100.0</v>
      </c>
      <c r="T17" s="4">
        <v>0.699897</v>
      </c>
      <c r="U17" s="4">
        <v>0.08644</v>
      </c>
      <c r="V17" s="3">
        <v>223.465563</v>
      </c>
      <c r="W17" s="3">
        <v>4.72506</v>
      </c>
      <c r="X17" s="2">
        <v>0.0</v>
      </c>
      <c r="Y17" s="3"/>
      <c r="Z17" s="3">
        <v>569.232111</v>
      </c>
      <c r="AA17" s="3">
        <v>4.148438</v>
      </c>
    </row>
    <row r="18">
      <c r="A18" s="0" t="inlineStr">
        <is>
          <t xml:space="preserve">loss-10</t>
        </is>
      </c>
      <c r="B18" s="0" t="inlineStr">
        <is>
          <t xml:space="preserve">C1 control</t>
        </is>
      </c>
      <c r="C18" s="0" t="inlineStr">
        <is>
          <t xml:space="preserve">DTLS 1.3</t>
        </is>
      </c>
      <c r="D18" s="2">
        <v>5.0</v>
      </c>
      <c r="E18" s="2">
        <v>0.0</v>
      </c>
      <c r="F18" s="3">
        <v>1703.05147</v>
      </c>
      <c r="G18" s="3">
        <v>2565.500316</v>
      </c>
      <c r="H18" s="4">
        <v>5.476383</v>
      </c>
      <c r="I18" s="2">
        <v>4812.0</v>
      </c>
      <c r="J18" s="2">
        <v>19200.0</v>
      </c>
      <c r="K18" s="2">
        <v>2457600.0</v>
      </c>
      <c r="L18" s="3">
        <v>22.0125</v>
      </c>
      <c r="M18" s="0" t="inlineStr">
        <is>
          <t xml:space="preserve">cliente (RTT)</t>
        </is>
      </c>
      <c r="N18" s="3">
        <v>101.590187</v>
      </c>
      <c r="O18" s="3">
        <v>0.050174</v>
      </c>
      <c r="P18" s="3">
        <v>101.813333</v>
      </c>
      <c r="Q18" s="3">
        <v>102.03499</v>
      </c>
      <c r="R18" s="2">
        <v>17192.0</v>
      </c>
      <c r="S18" s="3">
        <v>89.541667</v>
      </c>
      <c r="T18" s="4"/>
      <c r="U18" s="4"/>
      <c r="V18" s="3">
        <v>40.60975</v>
      </c>
      <c r="W18" s="3">
        <v>0.952315</v>
      </c>
      <c r="X18" s="2">
        <v>0.0</v>
      </c>
      <c r="Y18" s="3"/>
      <c r="Z18" s="3">
        <v>85.825934</v>
      </c>
      <c r="AA18" s="3">
        <v>4.230469</v>
      </c>
    </row>
    <row r="19">
      <c r="A19" s="0" t="inlineStr">
        <is>
          <t xml:space="preserve">loss-10</t>
        </is>
      </c>
      <c r="B19" s="0" t="inlineStr">
        <is>
          <t xml:space="preserve">C2 telemetry</t>
        </is>
      </c>
      <c r="C19" s="0" t="inlineStr">
        <is>
          <t xml:space="preserve">OSCORE sobre CoAP</t>
        </is>
      </c>
      <c r="D19" s="2">
        <v>5.0</v>
      </c>
      <c r="E19" s="2">
        <v>0.0</v>
      </c>
      <c r="F19" s="3">
        <v>2258.648243</v>
      </c>
      <c r="G19" s="3">
        <v>2438.057694</v>
      </c>
      <c r="H19" s="4">
        <v>0.616127</v>
      </c>
      <c r="I19" s="2"/>
      <c r="J19" s="2">
        <v>117.0</v>
      </c>
      <c r="K19" s="2">
        <v>234.0</v>
      </c>
      <c r="L19" s="3"/>
      <c r="M19" s="0" t="inlineStr">
        <is>
          <t xml:space="preserve">cliente (RTT)</t>
        </is>
      </c>
      <c r="N19" s="3">
        <v>102.311096</v>
      </c>
      <c r="O19" s="3">
        <v>0.025595</v>
      </c>
      <c r="P19" s="3">
        <v>6853.062026</v>
      </c>
      <c r="Q19" s="3">
        <v>7320.678711</v>
      </c>
      <c r="R19" s="2">
        <v>117.0</v>
      </c>
      <c r="S19" s="3">
        <v>100.0</v>
      </c>
      <c r="T19" s="4"/>
      <c r="U19" s="4"/>
      <c r="V19" s="3">
        <v>639.370778</v>
      </c>
      <c r="W19" s="3">
        <v>38.017581</v>
      </c>
      <c r="X19" s="2">
        <v>40.0</v>
      </c>
      <c r="Y19" s="3">
        <v>0.0</v>
      </c>
      <c r="Z19" s="3"/>
      <c r="AA19" s="3">
        <v>4.144531</v>
      </c>
    </row>
    <row r="20">
      <c r="A20" s="0" t="inlineStr">
        <is>
          <t xml:space="preserve">loss-10</t>
        </is>
      </c>
      <c r="B20" s="0" t="inlineStr">
        <is>
          <t xml:space="preserve">C3 media</t>
        </is>
      </c>
      <c r="C20" s="0" t="inlineStr">
        <is>
          <t xml:space="preserve">handshake DTLS 1.3 + SRTP na mídia</t>
        </is>
      </c>
      <c r="D20" s="2">
        <v>5.0</v>
      </c>
      <c r="E20" s="2">
        <v>0.0</v>
      </c>
      <c r="F20" s="3">
        <v>668.238473</v>
      </c>
      <c r="G20" s="3">
        <v>1043.31723</v>
      </c>
      <c r="H20" s="4">
        <v>5.109332</v>
      </c>
      <c r="I20" s="2">
        <v>4683.0</v>
      </c>
      <c r="J20" s="2">
        <v>125000.0</v>
      </c>
      <c r="K20" s="2">
        <v>150000000.0</v>
      </c>
      <c r="L20" s="3">
        <v>28.00096</v>
      </c>
      <c r="M20" s="0" t="inlineStr">
        <is>
          <t xml:space="preserve">servidor (unidirecional)</t>
        </is>
      </c>
      <c r="N20" s="3">
        <v>0.445949</v>
      </c>
      <c r="O20" s="3">
        <v>0.0</v>
      </c>
      <c r="P20" s="3">
        <v>0.632104</v>
      </c>
      <c r="Q20" s="3">
        <v>0.732099</v>
      </c>
      <c r="R20" s="2">
        <v>112537.0</v>
      </c>
      <c r="S20" s="3">
        <v>90.0296</v>
      </c>
      <c r="T20" s="4"/>
      <c r="U20" s="4"/>
      <c r="V20" s="3">
        <v>79.115587</v>
      </c>
      <c r="W20" s="3">
        <v>2.749988</v>
      </c>
      <c r="X20" s="2">
        <v>0.0</v>
      </c>
      <c r="Y20" s="3"/>
      <c r="Z20" s="3">
        <v>31.054599</v>
      </c>
      <c r="AA20" s="3">
        <v>6.878906</v>
      </c>
    </row>
    <row r="21">
      <c r="A21" s="0" t="inlineStr">
        <is>
          <t xml:space="preserve">loss-10</t>
        </is>
      </c>
      <c r="B21" s="0" t="inlineStr">
        <is>
          <t xml:space="preserve">C4 bulk</t>
        </is>
      </c>
      <c r="C21" s="0" t="inlineStr">
        <is>
          <t xml:space="preserve">TLS 1.3</t>
        </is>
      </c>
      <c r="D21" s="2">
        <v>5.0</v>
      </c>
      <c r="E21" s="2">
        <v>0.0</v>
      </c>
      <c r="F21" s="3">
        <v>205.610623</v>
      </c>
      <c r="G21" s="3">
        <v>0.159025</v>
      </c>
      <c r="H21" s="4">
        <v>2.223493</v>
      </c>
      <c r="I21" s="2">
        <v>2941.0</v>
      </c>
      <c r="J21" s="2">
        <v>2565.0</v>
      </c>
      <c r="K21" s="2">
        <v>41943040.0</v>
      </c>
      <c r="L21" s="3">
        <v>22.062378</v>
      </c>
      <c r="M21" s="0" t="inlineStr">
        <is>
          <t xml:space="preserve">cliente (RTT)</t>
        </is>
      </c>
      <c r="N21" s="3">
        <v>228477.541266</v>
      </c>
      <c r="O21" s="3">
        <v>29165.059716</v>
      </c>
      <c r="P21" s="3">
        <v>228477.541266</v>
      </c>
      <c r="Q21" s="3">
        <v>228477.541266</v>
      </c>
      <c r="R21" s="2">
        <v>2560.0</v>
      </c>
      <c r="S21" s="3">
        <v>100.0</v>
      </c>
      <c r="T21" s="4">
        <v>0.293327</v>
      </c>
      <c r="U21" s="4">
        <v>0.035467</v>
      </c>
      <c r="V21" s="3">
        <v>259.50193</v>
      </c>
      <c r="W21" s="3">
        <v>23.317671</v>
      </c>
      <c r="X21" s="2">
        <v>0.0</v>
      </c>
      <c r="Y21" s="3"/>
      <c r="Z21" s="3">
        <v>611.784457</v>
      </c>
      <c r="AA21" s="3">
        <v>4.132812</v>
      </c>
    </row>
    <row r="22">
      <c r="A22" s="0" t="inlineStr">
        <is>
          <t xml:space="preserve">loss-20</t>
        </is>
      </c>
      <c r="B22" s="0" t="inlineStr">
        <is>
          <t xml:space="preserve">C1 control</t>
        </is>
      </c>
      <c r="C22" s="0" t="inlineStr">
        <is>
          <t xml:space="preserve">DTLS 1.3</t>
        </is>
      </c>
      <c r="D22" s="2">
        <v>2.0</v>
      </c>
      <c r="E22" s="2">
        <v>3.0</v>
      </c>
      <c r="F22" s="3">
        <v>4537.065997</v>
      </c>
      <c r="G22" s="3">
        <v>1764.536824</v>
      </c>
      <c r="H22" s="4">
        <v>5.403814</v>
      </c>
      <c r="I22" s="2">
        <v>6564.5</v>
      </c>
      <c r="J22" s="2">
        <v>7680.0</v>
      </c>
      <c r="K22" s="2">
        <v>983040.0</v>
      </c>
      <c r="L22" s="3">
        <v>22.011458</v>
      </c>
      <c r="M22" s="0" t="inlineStr">
        <is>
          <t xml:space="preserve">cliente (RTT)</t>
        </is>
      </c>
      <c r="N22" s="3">
        <v>101.656604</v>
      </c>
      <c r="O22" s="3">
        <v>0.035321</v>
      </c>
      <c r="P22" s="3">
        <v>101.912558</v>
      </c>
      <c r="Q22" s="3">
        <v>102.509907</v>
      </c>
      <c r="R22" s="2">
        <v>6180.0</v>
      </c>
      <c r="S22" s="3">
        <v>80.46875</v>
      </c>
      <c r="T22" s="4"/>
      <c r="U22" s="4"/>
      <c r="V22" s="3">
        <v>42.188909</v>
      </c>
      <c r="W22" s="3">
        <v>0.874459</v>
      </c>
      <c r="X22" s="2">
        <v>0.0</v>
      </c>
      <c r="Y22" s="3"/>
      <c r="Z22" s="3">
        <v>86.064461</v>
      </c>
      <c r="AA22" s="3">
        <v>4.1875</v>
      </c>
    </row>
    <row r="23">
      <c r="A23" s="0" t="inlineStr">
        <is>
          <t xml:space="preserve">loss-20</t>
        </is>
      </c>
      <c r="B23" s="0" t="inlineStr">
        <is>
          <t xml:space="preserve">C2 telemetry</t>
        </is>
      </c>
      <c r="C23" s="0" t="inlineStr">
        <is>
          <t xml:space="preserve">OSCORE sobre CoAP</t>
        </is>
      </c>
      <c r="D23" s="2">
        <v>5.0</v>
      </c>
      <c r="E23" s="2">
        <v>0.0</v>
      </c>
      <c r="F23" s="3">
        <v>2383.900678</v>
      </c>
      <c r="G23" s="3">
        <v>2562.937389</v>
      </c>
      <c r="H23" s="4">
        <v>0.64745</v>
      </c>
      <c r="I23" s="2"/>
      <c r="J23" s="2">
        <v>78.0</v>
      </c>
      <c r="K23" s="2">
        <v>156.0</v>
      </c>
      <c r="L23" s="3"/>
      <c r="M23" s="0" t="inlineStr">
        <is>
          <t xml:space="preserve">cliente (RTT)</t>
        </is>
      </c>
      <c r="N23" s="3">
        <v>102.367561</v>
      </c>
      <c r="O23" s="3">
        <v>0.181126</v>
      </c>
      <c r="P23" s="3">
        <v>30568.826367</v>
      </c>
      <c r="Q23" s="3">
        <v>30568.826367</v>
      </c>
      <c r="R23" s="2">
        <v>78.0</v>
      </c>
      <c r="S23" s="3">
        <v>100.0</v>
      </c>
      <c r="T23" s="4"/>
      <c r="U23" s="4"/>
      <c r="V23" s="3">
        <v>687.113545</v>
      </c>
      <c r="W23" s="3">
        <v>21.396992</v>
      </c>
      <c r="X23" s="2">
        <v>42.0</v>
      </c>
      <c r="Y23" s="3">
        <v>0.0</v>
      </c>
      <c r="Z23" s="3"/>
      <c r="AA23" s="3">
        <v>4.140625</v>
      </c>
    </row>
    <row r="24">
      <c r="A24" s="0" t="inlineStr">
        <is>
          <t xml:space="preserve">loss-20</t>
        </is>
      </c>
      <c r="B24" s="0" t="inlineStr">
        <is>
          <t xml:space="preserve">C3 media</t>
        </is>
      </c>
      <c r="C24" s="0" t="inlineStr">
        <is>
          <t xml:space="preserve">handshake DTLS 1.3 + SRTP na mídia</t>
        </is>
      </c>
      <c r="D24" s="2">
        <v>3.0</v>
      </c>
      <c r="E24" s="2">
        <v>2.0</v>
      </c>
      <c r="F24" s="3">
        <v>2729.018103</v>
      </c>
      <c r="G24" s="3">
        <v>1639.455872</v>
      </c>
      <c r="H24" s="4">
        <v>5.446414</v>
      </c>
      <c r="I24" s="2">
        <v>7143.0</v>
      </c>
      <c r="J24" s="2">
        <v>75000.0</v>
      </c>
      <c r="K24" s="2">
        <v>90000000.0</v>
      </c>
      <c r="L24" s="3">
        <v>28.00096</v>
      </c>
      <c r="M24" s="0" t="inlineStr">
        <is>
          <t xml:space="preserve">servidor (unidirecional)</t>
        </is>
      </c>
      <c r="N24" s="3">
        <v>0.412586</v>
      </c>
      <c r="O24" s="3">
        <v>0.0</v>
      </c>
      <c r="P24" s="3">
        <v>0.594498</v>
      </c>
      <c r="Q24" s="3">
        <v>0.701265</v>
      </c>
      <c r="R24" s="2">
        <v>59951.0</v>
      </c>
      <c r="S24" s="3">
        <v>79.934667</v>
      </c>
      <c r="T24" s="4"/>
      <c r="U24" s="4"/>
      <c r="V24" s="3">
        <v>78.175842</v>
      </c>
      <c r="W24" s="3">
        <v>0.981577</v>
      </c>
      <c r="X24" s="2">
        <v>0.0</v>
      </c>
      <c r="Y24" s="3"/>
      <c r="Z24" s="3">
        <v>30.438499</v>
      </c>
      <c r="AA24" s="3">
        <v>6.859375</v>
      </c>
    </row>
    <row r="25">
      <c r="A25" s="0" t="inlineStr">
        <is>
          <t xml:space="preserve">loss-20</t>
        </is>
      </c>
      <c r="B25" s="0" t="inlineStr">
        <is>
          <t xml:space="preserve">C4 bulk</t>
        </is>
      </c>
      <c r="C25" s="0" t="inlineStr">
        <is>
          <t xml:space="preserve">TLS 1.3</t>
        </is>
      </c>
      <c r="D25" s="2">
        <v>5.0</v>
      </c>
      <c r="E25" s="2">
        <v>0.0</v>
      </c>
      <c r="F25" s="3">
        <v>205.955409</v>
      </c>
      <c r="G25" s="3">
        <v>1228.95116</v>
      </c>
      <c r="H25" s="4">
        <v>2.445908</v>
      </c>
      <c r="I25" s="2">
        <v>2941.0</v>
      </c>
      <c r="J25" s="2">
        <v>325.0</v>
      </c>
      <c r="K25" s="2">
        <v>5242880.0</v>
      </c>
      <c r="L25" s="3">
        <v>22.492308</v>
      </c>
      <c r="M25" s="0" t="inlineStr">
        <is>
          <t xml:space="preserve">cliente (RTT)</t>
        </is>
      </c>
      <c r="N25" s="3">
        <v>496193.377645</v>
      </c>
      <c r="O25" s="3">
        <v>406993.778578</v>
      </c>
      <c r="P25" s="3">
        <v>496193.377645</v>
      </c>
      <c r="Q25" s="3">
        <v>496193.377645</v>
      </c>
      <c r="R25" s="2">
        <v>320.0</v>
      </c>
      <c r="S25" s="3">
        <v>100.0</v>
      </c>
      <c r="T25" s="4">
        <v>0.016895</v>
      </c>
      <c r="U25" s="4">
        <v>0.007911</v>
      </c>
      <c r="V25" s="3">
        <v>238.861892</v>
      </c>
      <c r="W25" s="3">
        <v>9.853246</v>
      </c>
      <c r="X25" s="2">
        <v>0.0</v>
      </c>
      <c r="Y25" s="3"/>
      <c r="Z25" s="3">
        <v>624.873475</v>
      </c>
      <c r="AA25" s="3">
        <v>4.113281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4.5"/>
  <cols>
    <col min="1" max="1" width="13" customWidth="1"/>
    <col min="2" max="2" width="15" customWidth="1"/>
    <col min="3" max="3" width="17" customWidth="1"/>
    <col min="4" max="4" width="10" customWidth="1"/>
    <col min="5" max="5" width="12" customWidth="1"/>
    <col min="6" max="6" width="17" customWidth="1"/>
    <col min="7" max="7" width="14" customWidth="1"/>
    <col min="8" max="8" width="15" customWidth="1"/>
    <col min="9" max="9" width="13" customWidth="1"/>
    <col min="10" max="10" width="11" customWidth="1"/>
    <col min="11" max="11" width="15" customWidth="1"/>
    <col min="12" max="12" width="15" customWidth="1"/>
    <col min="13" max="13" width="15" customWidth="1"/>
    <col min="14" max="14" width="11" customWidth="1"/>
    <col min="15" max="15" width="12" customWidth="1"/>
    <col min="16" max="16" width="11" customWidth="1"/>
    <col min="17" max="17" width="11" customWidth="1"/>
    <col min="18" max="18" width="11" customWidth="1"/>
    <col min="19" max="19" width="11" customWidth="1"/>
    <col min="20" max="20" width="13" customWidth="1"/>
    <col min="21" max="21" width="14" customWidth="1"/>
    <col min="22" max="22" width="13" customWidth="1"/>
    <col min="23" max="23" width="14" customWidth="1"/>
    <col min="24" max="24" width="13" customWidth="1"/>
    <col min="25" max="25" width="13" customWidth="1"/>
    <col min="26" max="26" width="16" customWidth="1"/>
    <col min="27" max="27" width="14" customWidth="1"/>
  </cols>
  <sheetData>
    <row r="1">
      <c r="A1" s="1" t="inlineStr">
        <is>
          <t xml:space="preserve">condição</t>
        </is>
      </c>
      <c r="B1" s="1" t="inlineStr">
        <is>
          <t xml:space="preserve">canal</t>
        </is>
      </c>
      <c r="C1" s="1" t="inlineStr">
        <is>
          <t xml:space="preserve">perfil</t>
        </is>
      </c>
      <c r="D1" s="1" t="inlineStr">
        <is>
          <t xml:space="preserve">repetições</t>
        </is>
      </c>
      <c r="E1" s="1" t="inlineStr">
        <is>
          <t xml:space="preserve">reps sem dados</t>
        </is>
      </c>
      <c r="F1" s="1" t="inlineStr">
        <is>
          <t xml:space="preserve">estabelecimento (ms)</t>
        </is>
      </c>
      <c r="G1" s="1" t="inlineStr">
        <is>
          <t xml:space="preserve">estab. IQR (ms)</t>
        </is>
      </c>
      <c r="H1" s="1" t="inlineStr">
        <is>
          <t xml:space="preserve">CPU do estab. (ms)</t>
        </is>
      </c>
      <c r="I1" s="1" t="inlineStr">
        <is>
          <t xml:space="preserve">bytes do estab.</t>
        </is>
      </c>
      <c r="J1" s="1" t="inlineStr">
        <is>
          <t xml:space="preserve">mensagens</t>
        </is>
      </c>
      <c r="K1" s="1" t="inlineStr">
        <is>
          <t xml:space="preserve">bytes de aplicação</t>
        </is>
      </c>
      <c r="L1" s="1" t="inlineStr">
        <is>
          <t xml:space="preserve">sobrecarga (B/msg)</t>
        </is>
      </c>
      <c r="M1" s="1" t="inlineStr">
        <is>
          <t xml:space="preserve">origem do atraso</t>
        </is>
      </c>
      <c r="N1" s="1" t="inlineStr">
        <is>
          <t xml:space="preserve">p50 (ms)</t>
        </is>
      </c>
      <c r="O1" s="1" t="inlineStr">
        <is>
          <t xml:space="preserve">p50 IQR (ms)</t>
        </is>
      </c>
      <c r="P1" s="1" t="inlineStr">
        <is>
          <t xml:space="preserve">p95 (ms)</t>
        </is>
      </c>
      <c r="Q1" s="1" t="inlineStr">
        <is>
          <t xml:space="preserve">p99 (ms)</t>
        </is>
      </c>
      <c r="R1" s="1" t="inlineStr">
        <is>
          <t xml:space="preserve">recebidas</t>
        </is>
      </c>
      <c r="S1" s="1" t="inlineStr">
        <is>
          <t xml:space="preserve">entrega (%)</t>
        </is>
      </c>
      <c r="T1" s="1" t="inlineStr">
        <is>
          <t xml:space="preserve">vazão (Mbps)</t>
        </is>
      </c>
      <c r="U1" s="1" t="inlineStr">
        <is>
          <t xml:space="preserve">vazão IQR (Mbps)</t>
        </is>
      </c>
      <c r="V1" s="1" t="inlineStr">
        <is>
          <t xml:space="preserve">CPU/msg (µs)</t>
        </is>
      </c>
      <c r="W1" s="1" t="inlineStr">
        <is>
          <t xml:space="preserve">CPU/msg IQR (µs)</t>
        </is>
      </c>
      <c r="X1" s="1" t="inlineStr">
        <is>
          <t xml:space="preserve">retransmissões</t>
        </is>
      </c>
      <c r="Y1" s="1" t="inlineStr">
        <is>
          <t xml:space="preserve">CPU/retx (µs)</t>
        </is>
      </c>
      <c r="Z1" s="1" t="inlineStr">
        <is>
          <t xml:space="preserve">CPU de verificação (µs)</t>
        </is>
      </c>
      <c r="AA1" s="1" t="inlineStr">
        <is>
          <t xml:space="preserve">RSS de pico (MB)</t>
        </is>
      </c>
    </row>
    <row r="2">
      <c r="A2" s="0" t="inlineStr">
        <is>
          <t xml:space="preserve">delay-0</t>
        </is>
      </c>
      <c r="B2" s="0" t="inlineStr">
        <is>
          <t xml:space="preserve">C1 control</t>
        </is>
      </c>
      <c r="C2" s="0" t="inlineStr">
        <is>
          <t xml:space="preserve">DTLS 1.3</t>
        </is>
      </c>
      <c r="D2" s="2">
        <v>5.0</v>
      </c>
      <c r="E2" s="2">
        <v>0.0</v>
      </c>
      <c r="F2" s="3">
        <v>13.614711</v>
      </c>
      <c r="G2" s="3">
        <v>0.976514</v>
      </c>
      <c r="H2" s="4">
        <v>6.531381</v>
      </c>
      <c r="I2" s="2">
        <v>4588.0</v>
      </c>
      <c r="J2" s="2">
        <v>19200.0</v>
      </c>
      <c r="K2" s="2">
        <v>2457600.0</v>
      </c>
      <c r="L2" s="3">
        <v>22.016667</v>
      </c>
      <c r="M2" s="0" t="inlineStr">
        <is>
          <t xml:space="preserve">cliente (RTT)</t>
        </is>
      </c>
      <c r="N2" s="3">
        <v>1.350807</v>
      </c>
      <c r="O2" s="3">
        <v>0.030414</v>
      </c>
      <c r="P2" s="3">
        <v>1.592342</v>
      </c>
      <c r="Q2" s="3">
        <v>2.238226</v>
      </c>
      <c r="R2" s="2">
        <v>19173.0</v>
      </c>
      <c r="S2" s="3">
        <v>99.859375</v>
      </c>
      <c r="T2" s="4"/>
      <c r="U2" s="4"/>
      <c r="V2" s="3">
        <v>299.265505</v>
      </c>
      <c r="W2" s="3">
        <v>19.552578</v>
      </c>
      <c r="X2" s="2">
        <v>0.0</v>
      </c>
      <c r="Y2" s="3"/>
      <c r="Z2" s="3">
        <v>103.595516</v>
      </c>
      <c r="AA2" s="3">
        <v>4.195312</v>
      </c>
    </row>
    <row r="3">
      <c r="A3" s="0" t="inlineStr">
        <is>
          <t xml:space="preserve">delay-0</t>
        </is>
      </c>
      <c r="B3" s="0" t="inlineStr">
        <is>
          <t xml:space="preserve">C2 telemetry</t>
        </is>
      </c>
      <c r="C3" s="0" t="inlineStr">
        <is>
          <t xml:space="preserve">OSCORE sobre CoAP</t>
        </is>
      </c>
      <c r="D3" s="2">
        <v>5.0</v>
      </c>
      <c r="E3" s="2">
        <v>0.0</v>
      </c>
      <c r="F3" s="3">
        <v>2.011831</v>
      </c>
      <c r="G3" s="3">
        <v>0.349673</v>
      </c>
      <c r="H3" s="4">
        <v>0.968821</v>
      </c>
      <c r="I3" s="2"/>
      <c r="J3" s="2">
        <v>150.0</v>
      </c>
      <c r="K3" s="2">
        <v>300.0</v>
      </c>
      <c r="L3" s="3"/>
      <c r="M3" s="0" t="inlineStr">
        <is>
          <t xml:space="preserve">cliente (RTT)</t>
        </is>
      </c>
      <c r="N3" s="3">
        <v>1.935652</v>
      </c>
      <c r="O3" s="3">
        <v>0.034661</v>
      </c>
      <c r="P3" s="3">
        <v>2.690329</v>
      </c>
      <c r="Q3" s="3">
        <v>2.887561</v>
      </c>
      <c r="R3" s="2">
        <v>150.0</v>
      </c>
      <c r="S3" s="3">
        <v>100.0</v>
      </c>
      <c r="T3" s="4"/>
      <c r="U3" s="4"/>
      <c r="V3" s="3">
        <v>991.988733</v>
      </c>
      <c r="W3" s="3">
        <v>39.996733</v>
      </c>
      <c r="X3" s="2">
        <v>0.0</v>
      </c>
      <c r="Y3" s="3"/>
      <c r="Z3" s="3"/>
      <c r="AA3" s="3">
        <v>4.167969</v>
      </c>
    </row>
    <row r="4">
      <c r="A4" s="0" t="inlineStr">
        <is>
          <t xml:space="preserve">delay-0</t>
        </is>
      </c>
      <c r="B4" s="0" t="inlineStr">
        <is>
          <t xml:space="preserve">C3 media</t>
        </is>
      </c>
      <c r="C4" s="0" t="inlineStr">
        <is>
          <t xml:space="preserve">handshake DTLS 1.3 + SRTP na mídia</t>
        </is>
      </c>
      <c r="D4" s="2">
        <v>5.0</v>
      </c>
      <c r="E4" s="2">
        <v>0.0</v>
      </c>
      <c r="F4" s="3">
        <v>12.477699</v>
      </c>
      <c r="G4" s="3">
        <v>0.466615</v>
      </c>
      <c r="H4" s="4">
        <v>6.072338</v>
      </c>
      <c r="I4" s="2">
        <v>4611.0</v>
      </c>
      <c r="J4" s="2">
        <v>125000.0</v>
      </c>
      <c r="K4" s="2">
        <v>150000000.0</v>
      </c>
      <c r="L4" s="3">
        <v>28.00096</v>
      </c>
      <c r="M4" s="0" t="inlineStr">
        <is>
          <t xml:space="preserve">servidor (unidirecional)</t>
        </is>
      </c>
      <c r="N4" s="3">
        <v>0.351072</v>
      </c>
      <c r="O4" s="3">
        <v>0.0</v>
      </c>
      <c r="P4" s="3">
        <v>0.535975</v>
      </c>
      <c r="Q4" s="3">
        <v>0.631324</v>
      </c>
      <c r="R4" s="2">
        <v>124878.0</v>
      </c>
      <c r="S4" s="3">
        <v>99.9024</v>
      </c>
      <c r="T4" s="4"/>
      <c r="U4" s="4"/>
      <c r="V4" s="3">
        <v>280.24957</v>
      </c>
      <c r="W4" s="3">
        <v>15.713372</v>
      </c>
      <c r="X4" s="2">
        <v>0.0</v>
      </c>
      <c r="Y4" s="3"/>
      <c r="Z4" s="3">
        <v>30.10874</v>
      </c>
      <c r="AA4" s="3">
        <v>6.910156</v>
      </c>
    </row>
    <row r="5">
      <c r="A5" s="0" t="inlineStr">
        <is>
          <t xml:space="preserve">delay-0</t>
        </is>
      </c>
      <c r="B5" s="0" t="inlineStr">
        <is>
          <t xml:space="preserve">C4 bulk</t>
        </is>
      </c>
      <c r="C5" s="0" t="inlineStr">
        <is>
          <t xml:space="preserve">TLS 1.3</t>
        </is>
      </c>
      <c r="D5" s="2">
        <v>5.0</v>
      </c>
      <c r="E5" s="2">
        <v>0.0</v>
      </c>
      <c r="F5" s="3">
        <v>6.268417</v>
      </c>
      <c r="G5" s="3">
        <v>0.144708</v>
      </c>
      <c r="H5" s="4">
        <v>3.307046</v>
      </c>
      <c r="I5" s="2">
        <v>2941.0</v>
      </c>
      <c r="J5" s="2">
        <v>2565.0</v>
      </c>
      <c r="K5" s="2">
        <v>41943040.0</v>
      </c>
      <c r="L5" s="3">
        <v>22.062378</v>
      </c>
      <c r="M5" s="0" t="inlineStr">
        <is>
          <t xml:space="preserve">cliente (RTT)</t>
        </is>
      </c>
      <c r="N5" s="3">
        <v>578.277381</v>
      </c>
      <c r="O5" s="3">
        <v>24.79608</v>
      </c>
      <c r="P5" s="3">
        <v>578.277381</v>
      </c>
      <c r="Q5" s="3">
        <v>578.277381</v>
      </c>
      <c r="R5" s="2">
        <v>2560.0</v>
      </c>
      <c r="S5" s="3">
        <v>100.0</v>
      </c>
      <c r="T5" s="4">
        <v>114.516157</v>
      </c>
      <c r="U5" s="4">
        <v>5.059818</v>
      </c>
      <c r="V5" s="3">
        <v>509.113575</v>
      </c>
      <c r="W5" s="3">
        <v>37.20171</v>
      </c>
      <c r="X5" s="2">
        <v>0.0</v>
      </c>
      <c r="Y5" s="3"/>
      <c r="Z5" s="3">
        <v>910.33754</v>
      </c>
      <c r="AA5" s="3">
        <v>4.160156</v>
      </c>
    </row>
    <row r="6">
      <c r="A6" s="0" t="inlineStr">
        <is>
          <t xml:space="preserve">delay-25</t>
        </is>
      </c>
      <c r="B6" s="0" t="inlineStr">
        <is>
          <t xml:space="preserve">C1 control</t>
        </is>
      </c>
      <c r="C6" s="0" t="inlineStr">
        <is>
          <t xml:space="preserve">DTLS 1.3</t>
        </is>
      </c>
      <c r="D6" s="2">
        <v>5.0</v>
      </c>
      <c r="E6" s="2">
        <v>0.0</v>
      </c>
      <c r="F6" s="3">
        <v>163.010455</v>
      </c>
      <c r="G6" s="3">
        <v>0.214197</v>
      </c>
      <c r="H6" s="4">
        <v>5.257472</v>
      </c>
      <c r="I6" s="2">
        <v>4588.0</v>
      </c>
      <c r="J6" s="2">
        <v>19200.0</v>
      </c>
      <c r="K6" s="2">
        <v>2457600.0</v>
      </c>
      <c r="L6" s="3">
        <v>22.016667</v>
      </c>
      <c r="M6" s="0" t="inlineStr">
        <is>
          <t xml:space="preserve">cliente (RTT)</t>
        </is>
      </c>
      <c r="N6" s="3">
        <v>51.662679</v>
      </c>
      <c r="O6" s="3">
        <v>0.082756</v>
      </c>
      <c r="P6" s="3">
        <v>51.877897</v>
      </c>
      <c r="Q6" s="3">
        <v>52.174867</v>
      </c>
      <c r="R6" s="2">
        <v>19184.0</v>
      </c>
      <c r="S6" s="3">
        <v>99.916667</v>
      </c>
      <c r="T6" s="4"/>
      <c r="U6" s="4"/>
      <c r="V6" s="3">
        <v>38.412744</v>
      </c>
      <c r="W6" s="3">
        <v>0.782216</v>
      </c>
      <c r="X6" s="2">
        <v>0.0</v>
      </c>
      <c r="Y6" s="3"/>
      <c r="Z6" s="3">
        <v>85.460499</v>
      </c>
      <c r="AA6" s="3">
        <v>4.234375</v>
      </c>
    </row>
    <row r="7">
      <c r="A7" s="0" t="inlineStr">
        <is>
          <t xml:space="preserve">delay-25</t>
        </is>
      </c>
      <c r="B7" s="0" t="inlineStr">
        <is>
          <t xml:space="preserve">C2 telemetry</t>
        </is>
      </c>
      <c r="C7" s="0" t="inlineStr">
        <is>
          <t xml:space="preserve">OSCORE sobre CoAP</t>
        </is>
      </c>
      <c r="D7" s="2">
        <v>5.0</v>
      </c>
      <c r="E7" s="2">
        <v>0.0</v>
      </c>
      <c r="F7" s="3">
        <v>52.56729</v>
      </c>
      <c r="G7" s="3">
        <v>0.212258</v>
      </c>
      <c r="H7" s="4">
        <v>0.626243</v>
      </c>
      <c r="I7" s="2"/>
      <c r="J7" s="2">
        <v>150.0</v>
      </c>
      <c r="K7" s="2">
        <v>300.0</v>
      </c>
      <c r="L7" s="3"/>
      <c r="M7" s="0" t="inlineStr">
        <is>
          <t xml:space="preserve">cliente (RTT)</t>
        </is>
      </c>
      <c r="N7" s="3">
        <v>52.243326</v>
      </c>
      <c r="O7" s="3">
        <v>0.124786</v>
      </c>
      <c r="P7" s="3">
        <v>53.194587</v>
      </c>
      <c r="Q7" s="3">
        <v>53.344736</v>
      </c>
      <c r="R7" s="2">
        <v>150.0</v>
      </c>
      <c r="S7" s="3">
        <v>100.0</v>
      </c>
      <c r="T7" s="4"/>
      <c r="U7" s="4"/>
      <c r="V7" s="3">
        <v>623.377067</v>
      </c>
      <c r="W7" s="3">
        <v>25.0196</v>
      </c>
      <c r="X7" s="2">
        <v>0.0</v>
      </c>
      <c r="Y7" s="3"/>
      <c r="Z7" s="3"/>
      <c r="AA7" s="3">
        <v>4.140625</v>
      </c>
    </row>
    <row r="8">
      <c r="A8" s="0" t="inlineStr">
        <is>
          <t xml:space="preserve">delay-25</t>
        </is>
      </c>
      <c r="B8" s="0" t="inlineStr">
        <is>
          <t xml:space="preserve">C3 media</t>
        </is>
      </c>
      <c r="C8" s="0" t="inlineStr">
        <is>
          <t xml:space="preserve">handshake DTLS 1.3 + SRTP na mídia</t>
        </is>
      </c>
      <c r="D8" s="2">
        <v>5.0</v>
      </c>
      <c r="E8" s="2">
        <v>0.0</v>
      </c>
      <c r="F8" s="3">
        <v>162.973368</v>
      </c>
      <c r="G8" s="3">
        <v>1.009598</v>
      </c>
      <c r="H8" s="4">
        <v>4.904186</v>
      </c>
      <c r="I8" s="2">
        <v>4611.0</v>
      </c>
      <c r="J8" s="2">
        <v>125000.0</v>
      </c>
      <c r="K8" s="2">
        <v>150000000.0</v>
      </c>
      <c r="L8" s="3">
        <v>28.00096</v>
      </c>
      <c r="M8" s="0" t="inlineStr">
        <is>
          <t xml:space="preserve">servidor (unidirecional)</t>
        </is>
      </c>
      <c r="N8" s="3">
        <v>0.371819</v>
      </c>
      <c r="O8" s="3">
        <v>0.0</v>
      </c>
      <c r="P8" s="3">
        <v>0.535695</v>
      </c>
      <c r="Q8" s="3">
        <v>0.620273</v>
      </c>
      <c r="R8" s="2">
        <v>124893.0</v>
      </c>
      <c r="S8" s="3">
        <v>99.9144</v>
      </c>
      <c r="T8" s="4"/>
      <c r="U8" s="4"/>
      <c r="V8" s="3">
        <v>46.69703</v>
      </c>
      <c r="W8" s="3">
        <v>1.064686</v>
      </c>
      <c r="X8" s="2">
        <v>0.0</v>
      </c>
      <c r="Y8" s="3"/>
      <c r="Z8" s="3">
        <v>28.475005</v>
      </c>
      <c r="AA8" s="3">
        <v>6.863281</v>
      </c>
    </row>
    <row r="9">
      <c r="A9" s="0" t="inlineStr">
        <is>
          <t xml:space="preserve">delay-25</t>
        </is>
      </c>
      <c r="B9" s="0" t="inlineStr">
        <is>
          <t xml:space="preserve">C4 bulk</t>
        </is>
      </c>
      <c r="C9" s="0" t="inlineStr">
        <is>
          <t xml:space="preserve">TLS 1.3</t>
        </is>
      </c>
      <c r="D9" s="2">
        <v>5.0</v>
      </c>
      <c r="E9" s="2">
        <v>0.0</v>
      </c>
      <c r="F9" s="3">
        <v>105.647179</v>
      </c>
      <c r="G9" s="3">
        <v>0.292786</v>
      </c>
      <c r="H9" s="4">
        <v>2.390813</v>
      </c>
      <c r="I9" s="2">
        <v>2941.0</v>
      </c>
      <c r="J9" s="2">
        <v>2565.0</v>
      </c>
      <c r="K9" s="2">
        <v>41943040.0</v>
      </c>
      <c r="L9" s="3">
        <v>22.062378</v>
      </c>
      <c r="M9" s="0" t="inlineStr">
        <is>
          <t xml:space="preserve">cliente (RTT)</t>
        </is>
      </c>
      <c r="N9" s="3">
        <v>682.456543</v>
      </c>
      <c r="O9" s="3">
        <v>56.402302</v>
      </c>
      <c r="P9" s="3">
        <v>682.456543</v>
      </c>
      <c r="Q9" s="3">
        <v>682.456543</v>
      </c>
      <c r="R9" s="2">
        <v>2560.0</v>
      </c>
      <c r="S9" s="3">
        <v>100.0</v>
      </c>
      <c r="T9" s="4">
        <v>79.881196</v>
      </c>
      <c r="U9" s="4">
        <v>5.256422</v>
      </c>
      <c r="V9" s="3">
        <v>307.787023</v>
      </c>
      <c r="W9" s="3">
        <v>35.830366</v>
      </c>
      <c r="X9" s="2">
        <v>0.0</v>
      </c>
      <c r="Y9" s="3"/>
      <c r="Z9" s="3">
        <v>455.199222</v>
      </c>
      <c r="AA9" s="3">
        <v>4.144531</v>
      </c>
    </row>
    <row r="10">
      <c r="A10" s="0" t="inlineStr">
        <is>
          <t xml:space="preserve">delay-50</t>
        </is>
      </c>
      <c r="B10" s="0" t="inlineStr">
        <is>
          <t xml:space="preserve">C1 control</t>
        </is>
      </c>
      <c r="C10" s="0" t="inlineStr">
        <is>
          <t xml:space="preserve">DTLS 1.3</t>
        </is>
      </c>
      <c r="D10" s="2">
        <v>5.0</v>
      </c>
      <c r="E10" s="2">
        <v>0.0</v>
      </c>
      <c r="F10" s="3">
        <v>313.330462</v>
      </c>
      <c r="G10" s="3">
        <v>0.883166</v>
      </c>
      <c r="H10" s="4">
        <v>5.003069</v>
      </c>
      <c r="I10" s="2">
        <v>4588.0</v>
      </c>
      <c r="J10" s="2">
        <v>19200.0</v>
      </c>
      <c r="K10" s="2">
        <v>2457600.0</v>
      </c>
      <c r="L10" s="3">
        <v>22.016667</v>
      </c>
      <c r="M10" s="0" t="inlineStr">
        <is>
          <t xml:space="preserve">cliente (RTT)</t>
        </is>
      </c>
      <c r="N10" s="3">
        <v>101.598925</v>
      </c>
      <c r="O10" s="3">
        <v>0.03066</v>
      </c>
      <c r="P10" s="3">
        <v>101.830107</v>
      </c>
      <c r="Q10" s="3">
        <v>102.107063</v>
      </c>
      <c r="R10" s="2">
        <v>19182.0</v>
      </c>
      <c r="S10" s="3">
        <v>99.90625</v>
      </c>
      <c r="T10" s="4"/>
      <c r="U10" s="4"/>
      <c r="V10" s="3">
        <v>38.949503</v>
      </c>
      <c r="W10" s="3">
        <v>0.41611</v>
      </c>
      <c r="X10" s="2">
        <v>0.0</v>
      </c>
      <c r="Y10" s="3"/>
      <c r="Z10" s="3">
        <v>86.276062</v>
      </c>
      <c r="AA10" s="3">
        <v>4.179688</v>
      </c>
    </row>
    <row r="11">
      <c r="A11" s="0" t="inlineStr">
        <is>
          <t xml:space="preserve">delay-50</t>
        </is>
      </c>
      <c r="B11" s="0" t="inlineStr">
        <is>
          <t xml:space="preserve">C2 telemetry</t>
        </is>
      </c>
      <c r="C11" s="0" t="inlineStr">
        <is>
          <t xml:space="preserve">OSCORE sobre CoAP</t>
        </is>
      </c>
      <c r="D11" s="2">
        <v>5.0</v>
      </c>
      <c r="E11" s="2">
        <v>0.0</v>
      </c>
      <c r="F11" s="3">
        <v>102.242815</v>
      </c>
      <c r="G11" s="3">
        <v>0.125465</v>
      </c>
      <c r="H11" s="4">
        <v>0.543175</v>
      </c>
      <c r="I11" s="2"/>
      <c r="J11" s="2">
        <v>150.0</v>
      </c>
      <c r="K11" s="2">
        <v>300.0</v>
      </c>
      <c r="L11" s="3"/>
      <c r="M11" s="0" t="inlineStr">
        <is>
          <t xml:space="preserve">cliente (RTT)</t>
        </is>
      </c>
      <c r="N11" s="3">
        <v>102.172994</v>
      </c>
      <c r="O11" s="3">
        <v>0.026856</v>
      </c>
      <c r="P11" s="3">
        <v>102.977258</v>
      </c>
      <c r="Q11" s="3">
        <v>103.18778</v>
      </c>
      <c r="R11" s="2">
        <v>150.0</v>
      </c>
      <c r="S11" s="3">
        <v>100.0</v>
      </c>
      <c r="T11" s="4"/>
      <c r="U11" s="4"/>
      <c r="V11" s="3">
        <v>614.978567</v>
      </c>
      <c r="W11" s="3">
        <v>63.7901</v>
      </c>
      <c r="X11" s="2">
        <v>0.0</v>
      </c>
      <c r="Y11" s="3"/>
      <c r="Z11" s="3"/>
      <c r="AA11" s="3">
        <v>4.140625</v>
      </c>
    </row>
    <row r="12">
      <c r="A12" s="0" t="inlineStr">
        <is>
          <t xml:space="preserve">delay-50</t>
        </is>
      </c>
      <c r="B12" s="0" t="inlineStr">
        <is>
          <t xml:space="preserve">C3 media</t>
        </is>
      </c>
      <c r="C12" s="0" t="inlineStr">
        <is>
          <t xml:space="preserve">handshake DTLS 1.3 + SRTP na mídia</t>
        </is>
      </c>
      <c r="D12" s="2">
        <v>5.0</v>
      </c>
      <c r="E12" s="2">
        <v>0.0</v>
      </c>
      <c r="F12" s="3">
        <v>312.91673</v>
      </c>
      <c r="G12" s="3">
        <v>0.306903</v>
      </c>
      <c r="H12" s="4">
        <v>4.765692</v>
      </c>
      <c r="I12" s="2">
        <v>4611.0</v>
      </c>
      <c r="J12" s="2">
        <v>125000.0</v>
      </c>
      <c r="K12" s="2">
        <v>150000000.0</v>
      </c>
      <c r="L12" s="3">
        <v>28.00096</v>
      </c>
      <c r="M12" s="0" t="inlineStr">
        <is>
          <t xml:space="preserve">servidor (unidirecional)</t>
        </is>
      </c>
      <c r="N12" s="3">
        <v>0.42393</v>
      </c>
      <c r="O12" s="3">
        <v>0.0</v>
      </c>
      <c r="P12" s="3">
        <v>0.611723</v>
      </c>
      <c r="Q12" s="3">
        <v>0.708629</v>
      </c>
      <c r="R12" s="2">
        <v>124870.0</v>
      </c>
      <c r="S12" s="3">
        <v>99.896</v>
      </c>
      <c r="T12" s="4"/>
      <c r="U12" s="4"/>
      <c r="V12" s="3">
        <v>83.652889</v>
      </c>
      <c r="W12" s="3">
        <v>2.141743</v>
      </c>
      <c r="X12" s="2">
        <v>0.0</v>
      </c>
      <c r="Y12" s="3"/>
      <c r="Z12" s="3">
        <v>29.193951</v>
      </c>
      <c r="AA12" s="3">
        <v>6.886719</v>
      </c>
    </row>
    <row r="13">
      <c r="A13" s="0" t="inlineStr">
        <is>
          <t xml:space="preserve">delay-50</t>
        </is>
      </c>
      <c r="B13" s="0" t="inlineStr">
        <is>
          <t xml:space="preserve">C4 bulk</t>
        </is>
      </c>
      <c r="C13" s="0" t="inlineStr">
        <is>
          <t xml:space="preserve">TLS 1.3</t>
        </is>
      </c>
      <c r="D13" s="2">
        <v>5.0</v>
      </c>
      <c r="E13" s="2">
        <v>0.0</v>
      </c>
      <c r="F13" s="3">
        <v>205.52769</v>
      </c>
      <c r="G13" s="3">
        <v>0.278862</v>
      </c>
      <c r="H13" s="4">
        <v>2.303662</v>
      </c>
      <c r="I13" s="2">
        <v>2941.0</v>
      </c>
      <c r="J13" s="2">
        <v>2565.0</v>
      </c>
      <c r="K13" s="2">
        <v>41943040.0</v>
      </c>
      <c r="L13" s="3">
        <v>22.062378</v>
      </c>
      <c r="M13" s="0" t="inlineStr">
        <is>
          <t xml:space="preserve">cliente (RTT)</t>
        </is>
      </c>
      <c r="N13" s="3">
        <v>1232.163908</v>
      </c>
      <c r="O13" s="3">
        <v>3.300535</v>
      </c>
      <c r="P13" s="3">
        <v>1232.163908</v>
      </c>
      <c r="Q13" s="3">
        <v>1232.163908</v>
      </c>
      <c r="R13" s="2">
        <v>2560.0</v>
      </c>
      <c r="S13" s="3">
        <v>100.0</v>
      </c>
      <c r="T13" s="4">
        <v>43.5797</v>
      </c>
      <c r="U13" s="4">
        <v>0.105422</v>
      </c>
      <c r="V13" s="3">
        <v>296.99492</v>
      </c>
      <c r="W13" s="3">
        <v>95.047955</v>
      </c>
      <c r="X13" s="2">
        <v>0.0</v>
      </c>
      <c r="Y13" s="3"/>
      <c r="Z13" s="3">
        <v>422.827718</v>
      </c>
      <c r="AA13" s="3">
        <v>4.160156</v>
      </c>
    </row>
    <row r="14">
      <c r="A14" s="0" t="inlineStr">
        <is>
          <t xml:space="preserve">delay-100</t>
        </is>
      </c>
      <c r="B14" s="0" t="inlineStr">
        <is>
          <t xml:space="preserve">C1 control</t>
        </is>
      </c>
      <c r="C14" s="0" t="inlineStr">
        <is>
          <t xml:space="preserve">DTLS 1.3</t>
        </is>
      </c>
      <c r="D14" s="2">
        <v>5.0</v>
      </c>
      <c r="E14" s="2">
        <v>0.0</v>
      </c>
      <c r="F14" s="3">
        <v>613.332201</v>
      </c>
      <c r="G14" s="3">
        <v>0.418362</v>
      </c>
      <c r="H14" s="4">
        <v>5.37213</v>
      </c>
      <c r="I14" s="2">
        <v>4588.0</v>
      </c>
      <c r="J14" s="2">
        <v>19200.0</v>
      </c>
      <c r="K14" s="2">
        <v>2457600.0</v>
      </c>
      <c r="L14" s="3">
        <v>22.016667</v>
      </c>
      <c r="M14" s="0" t="inlineStr">
        <is>
          <t xml:space="preserve">cliente (RTT)</t>
        </is>
      </c>
      <c r="N14" s="3">
        <v>201.595656</v>
      </c>
      <c r="O14" s="3">
        <v>0.071431</v>
      </c>
      <c r="P14" s="3">
        <v>201.847584</v>
      </c>
      <c r="Q14" s="3">
        <v>202.176265</v>
      </c>
      <c r="R14" s="2">
        <v>19181.0</v>
      </c>
      <c r="S14" s="3">
        <v>99.901042</v>
      </c>
      <c r="T14" s="4"/>
      <c r="U14" s="4"/>
      <c r="V14" s="3">
        <v>38.010919</v>
      </c>
      <c r="W14" s="3">
        <v>0.513463</v>
      </c>
      <c r="X14" s="2">
        <v>0.0</v>
      </c>
      <c r="Y14" s="3"/>
      <c r="Z14" s="3">
        <v>85.936837</v>
      </c>
      <c r="AA14" s="3">
        <v>4.242188</v>
      </c>
    </row>
    <row r="15">
      <c r="A15" s="0" t="inlineStr">
        <is>
          <t xml:space="preserve">delay-100</t>
        </is>
      </c>
      <c r="B15" s="0" t="inlineStr">
        <is>
          <t xml:space="preserve">C2 telemetry</t>
        </is>
      </c>
      <c r="C15" s="0" t="inlineStr">
        <is>
          <t xml:space="preserve">OSCORE sobre CoAP</t>
        </is>
      </c>
      <c r="D15" s="2">
        <v>5.0</v>
      </c>
      <c r="E15" s="2">
        <v>0.0</v>
      </c>
      <c r="F15" s="3">
        <v>202.517527</v>
      </c>
      <c r="G15" s="3">
        <v>0.457369</v>
      </c>
      <c r="H15" s="4">
        <v>0.542899</v>
      </c>
      <c r="I15" s="2"/>
      <c r="J15" s="2">
        <v>150.0</v>
      </c>
      <c r="K15" s="2">
        <v>300.0</v>
      </c>
      <c r="L15" s="3"/>
      <c r="M15" s="0" t="inlineStr">
        <is>
          <t xml:space="preserve">cliente (RTT)</t>
        </is>
      </c>
      <c r="N15" s="3">
        <v>202.23275</v>
      </c>
      <c r="O15" s="3">
        <v>0.138312</v>
      </c>
      <c r="P15" s="3">
        <v>202.967202</v>
      </c>
      <c r="Q15" s="3">
        <v>203.199483</v>
      </c>
      <c r="R15" s="2">
        <v>150.0</v>
      </c>
      <c r="S15" s="3">
        <v>100.0</v>
      </c>
      <c r="T15" s="4"/>
      <c r="U15" s="4"/>
      <c r="V15" s="3">
        <v>598.347033</v>
      </c>
      <c r="W15" s="3">
        <v>19.749267</v>
      </c>
      <c r="X15" s="2">
        <v>0.0</v>
      </c>
      <c r="Y15" s="3"/>
      <c r="Z15" s="3"/>
      <c r="AA15" s="3">
        <v>4.179688</v>
      </c>
    </row>
    <row r="16">
      <c r="A16" s="0" t="inlineStr">
        <is>
          <t xml:space="preserve">delay-100</t>
        </is>
      </c>
      <c r="B16" s="0" t="inlineStr">
        <is>
          <t xml:space="preserve">C3 media</t>
        </is>
      </c>
      <c r="C16" s="0" t="inlineStr">
        <is>
          <t xml:space="preserve">handshake DTLS 1.3 + SRTP na mídia</t>
        </is>
      </c>
      <c r="D16" s="2">
        <v>5.0</v>
      </c>
      <c r="E16" s="2">
        <v>0.0</v>
      </c>
      <c r="F16" s="3">
        <v>613.173946</v>
      </c>
      <c r="G16" s="3">
        <v>0.136374</v>
      </c>
      <c r="H16" s="4">
        <v>4.83288</v>
      </c>
      <c r="I16" s="2">
        <v>4611.0</v>
      </c>
      <c r="J16" s="2">
        <v>125000.0</v>
      </c>
      <c r="K16" s="2">
        <v>150000000.0</v>
      </c>
      <c r="L16" s="3">
        <v>28.00096</v>
      </c>
      <c r="M16" s="0" t="inlineStr">
        <is>
          <t xml:space="preserve">servidor (unidirecional)</t>
        </is>
      </c>
      <c r="N16" s="3">
        <v>0.397696</v>
      </c>
      <c r="O16" s="3">
        <v>0.0</v>
      </c>
      <c r="P16" s="3">
        <v>0.585559</v>
      </c>
      <c r="Q16" s="3">
        <v>0.743722</v>
      </c>
      <c r="R16" s="2">
        <v>124885.0</v>
      </c>
      <c r="S16" s="3">
        <v>99.908</v>
      </c>
      <c r="T16" s="4"/>
      <c r="U16" s="4"/>
      <c r="V16" s="3">
        <v>52.856912</v>
      </c>
      <c r="W16" s="3">
        <v>3.704065</v>
      </c>
      <c r="X16" s="2">
        <v>0.0</v>
      </c>
      <c r="Y16" s="3"/>
      <c r="Z16" s="3">
        <v>30.494907</v>
      </c>
      <c r="AA16" s="3">
        <v>6.851562</v>
      </c>
    </row>
    <row r="17">
      <c r="A17" s="0" t="inlineStr">
        <is>
          <t xml:space="preserve">delay-100</t>
        </is>
      </c>
      <c r="B17" s="0" t="inlineStr">
        <is>
          <t xml:space="preserve">C4 bulk</t>
        </is>
      </c>
      <c r="C17" s="0" t="inlineStr">
        <is>
          <t xml:space="preserve">TLS 1.3</t>
        </is>
      </c>
      <c r="D17" s="2">
        <v>5.0</v>
      </c>
      <c r="E17" s="2">
        <v>0.0</v>
      </c>
      <c r="F17" s="3">
        <v>405.872715</v>
      </c>
      <c r="G17" s="3">
        <v>0.571222</v>
      </c>
      <c r="H17" s="4">
        <v>2.374298</v>
      </c>
      <c r="I17" s="2">
        <v>2941.0</v>
      </c>
      <c r="J17" s="2">
        <v>2565.0</v>
      </c>
      <c r="K17" s="2">
        <v>41943040.0</v>
      </c>
      <c r="L17" s="3">
        <v>22.062378</v>
      </c>
      <c r="M17" s="0" t="inlineStr">
        <is>
          <t xml:space="preserve">cliente (RTT)</t>
        </is>
      </c>
      <c r="N17" s="3">
        <v>4443.870489</v>
      </c>
      <c r="O17" s="3">
        <v>1816.687559</v>
      </c>
      <c r="P17" s="3">
        <v>4443.870489</v>
      </c>
      <c r="Q17" s="3">
        <v>4443.870489</v>
      </c>
      <c r="R17" s="2">
        <v>2560.0</v>
      </c>
      <c r="S17" s="3">
        <v>100.0</v>
      </c>
      <c r="T17" s="4">
        <v>13.283692</v>
      </c>
      <c r="U17" s="4">
        <v>7.45824</v>
      </c>
      <c r="V17" s="3">
        <v>241.348238</v>
      </c>
      <c r="W17" s="3">
        <v>50.444359</v>
      </c>
      <c r="X17" s="2">
        <v>0.0</v>
      </c>
      <c r="Y17" s="3"/>
      <c r="Z17" s="3">
        <v>400.739416</v>
      </c>
      <c r="AA17" s="3">
        <v>4.160156</v>
      </c>
    </row>
    <row r="18">
      <c r="A18" s="0" t="inlineStr">
        <is>
          <t xml:space="preserve">delay-200</t>
        </is>
      </c>
      <c r="B18" s="0" t="inlineStr">
        <is>
          <t xml:space="preserve">C1 control</t>
        </is>
      </c>
      <c r="C18" s="0" t="inlineStr">
        <is>
          <t xml:space="preserve">DTLS 1.3</t>
        </is>
      </c>
      <c r="D18" s="2">
        <v>5.0</v>
      </c>
      <c r="E18" s="2">
        <v>0.0</v>
      </c>
      <c r="F18" s="3">
        <v>1213.078247</v>
      </c>
      <c r="G18" s="3">
        <v>0.138818</v>
      </c>
      <c r="H18" s="4">
        <v>4.807434</v>
      </c>
      <c r="I18" s="2">
        <v>4588.0</v>
      </c>
      <c r="J18" s="2">
        <v>19200.0</v>
      </c>
      <c r="K18" s="2">
        <v>2457600.0</v>
      </c>
      <c r="L18" s="3">
        <v>22.016667</v>
      </c>
      <c r="M18" s="0" t="inlineStr">
        <is>
          <t xml:space="preserve">cliente (RTT)</t>
        </is>
      </c>
      <c r="N18" s="3">
        <v>401.652355</v>
      </c>
      <c r="O18" s="3">
        <v>0.07804</v>
      </c>
      <c r="P18" s="3">
        <v>401.87987</v>
      </c>
      <c r="Q18" s="3">
        <v>402.177599</v>
      </c>
      <c r="R18" s="2">
        <v>19179.0</v>
      </c>
      <c r="S18" s="3">
        <v>99.890625</v>
      </c>
      <c r="T18" s="4"/>
      <c r="U18" s="4"/>
      <c r="V18" s="3">
        <v>39.591032</v>
      </c>
      <c r="W18" s="3">
        <v>1.374279</v>
      </c>
      <c r="X18" s="2">
        <v>0.0</v>
      </c>
      <c r="Y18" s="3"/>
      <c r="Z18" s="3">
        <v>86.562442</v>
      </c>
      <c r="AA18" s="3">
        <v>4.179688</v>
      </c>
    </row>
    <row r="19">
      <c r="A19" s="0" t="inlineStr">
        <is>
          <t xml:space="preserve">delay-200</t>
        </is>
      </c>
      <c r="B19" s="0" t="inlineStr">
        <is>
          <t xml:space="preserve">C2 telemetry</t>
        </is>
      </c>
      <c r="C19" s="0" t="inlineStr">
        <is>
          <t xml:space="preserve">OSCORE sobre CoAP</t>
        </is>
      </c>
      <c r="D19" s="2">
        <v>5.0</v>
      </c>
      <c r="E19" s="2">
        <v>0.0</v>
      </c>
      <c r="F19" s="3">
        <v>402.420937</v>
      </c>
      <c r="G19" s="3">
        <v>0.266673</v>
      </c>
      <c r="H19" s="4">
        <v>0.56249</v>
      </c>
      <c r="I19" s="2"/>
      <c r="J19" s="2">
        <v>150.0</v>
      </c>
      <c r="K19" s="2">
        <v>300.0</v>
      </c>
      <c r="L19" s="3"/>
      <c r="M19" s="0" t="inlineStr">
        <is>
          <t xml:space="preserve">cliente (RTT)</t>
        </is>
      </c>
      <c r="N19" s="3">
        <v>402.233303</v>
      </c>
      <c r="O19" s="3">
        <v>0.027313</v>
      </c>
      <c r="P19" s="3">
        <v>403.278107</v>
      </c>
      <c r="Q19" s="3">
        <v>403.399126</v>
      </c>
      <c r="R19" s="2">
        <v>150.0</v>
      </c>
      <c r="S19" s="3">
        <v>100.0</v>
      </c>
      <c r="T19" s="4"/>
      <c r="U19" s="4"/>
      <c r="V19" s="3">
        <v>593.247733</v>
      </c>
      <c r="W19" s="3">
        <v>15.0364</v>
      </c>
      <c r="X19" s="2">
        <v>0.0</v>
      </c>
      <c r="Y19" s="3"/>
      <c r="Z19" s="3"/>
      <c r="AA19" s="3">
        <v>4.160156</v>
      </c>
    </row>
    <row r="20">
      <c r="A20" s="0" t="inlineStr">
        <is>
          <t xml:space="preserve">delay-200</t>
        </is>
      </c>
      <c r="B20" s="0" t="inlineStr">
        <is>
          <t xml:space="preserve">C3 media</t>
        </is>
      </c>
      <c r="C20" s="0" t="inlineStr">
        <is>
          <t xml:space="preserve">handshake DTLS 1.3 + SRTP na mídia</t>
        </is>
      </c>
      <c r="D20" s="2">
        <v>5.0</v>
      </c>
      <c r="E20" s="2">
        <v>0.0</v>
      </c>
      <c r="F20" s="3">
        <v>1212.803645</v>
      </c>
      <c r="G20" s="3">
        <v>0.324335</v>
      </c>
      <c r="H20" s="4">
        <v>4.921937</v>
      </c>
      <c r="I20" s="2">
        <v>4611.0</v>
      </c>
      <c r="J20" s="2">
        <v>125000.0</v>
      </c>
      <c r="K20" s="2">
        <v>150000000.0</v>
      </c>
      <c r="L20" s="3">
        <v>28.00096</v>
      </c>
      <c r="M20" s="0" t="inlineStr">
        <is>
          <t xml:space="preserve">servidor (unidirecional)</t>
        </is>
      </c>
      <c r="N20" s="3">
        <v>0.34381</v>
      </c>
      <c r="O20" s="3">
        <v>0.0</v>
      </c>
      <c r="P20" s="3">
        <v>0.501612</v>
      </c>
      <c r="Q20" s="3">
        <v>0.5998</v>
      </c>
      <c r="R20" s="2">
        <v>124887.0</v>
      </c>
      <c r="S20" s="3">
        <v>99.9096</v>
      </c>
      <c r="T20" s="4"/>
      <c r="U20" s="4"/>
      <c r="V20" s="3">
        <v>48.228058</v>
      </c>
      <c r="W20" s="3">
        <v>1.515989</v>
      </c>
      <c r="X20" s="2">
        <v>0.0</v>
      </c>
      <c r="Y20" s="3"/>
      <c r="Z20" s="3">
        <v>27.547675</v>
      </c>
      <c r="AA20" s="3">
        <v>6.851562</v>
      </c>
    </row>
    <row r="21">
      <c r="A21" s="0" t="inlineStr">
        <is>
          <t xml:space="preserve">delay-200</t>
        </is>
      </c>
      <c r="B21" s="0" t="inlineStr">
        <is>
          <t xml:space="preserve">C4 bulk</t>
        </is>
      </c>
      <c r="C21" s="0" t="inlineStr">
        <is>
          <t xml:space="preserve">TLS 1.3</t>
        </is>
      </c>
      <c r="D21" s="2">
        <v>5.0</v>
      </c>
      <c r="E21" s="2">
        <v>0.0</v>
      </c>
      <c r="F21" s="3">
        <v>805.658453</v>
      </c>
      <c r="G21" s="3">
        <v>0.240494</v>
      </c>
      <c r="H21" s="4">
        <v>2.33556</v>
      </c>
      <c r="I21" s="2">
        <v>2941.0</v>
      </c>
      <c r="J21" s="2">
        <v>2565.0</v>
      </c>
      <c r="K21" s="2">
        <v>41943040.0</v>
      </c>
      <c r="L21" s="3">
        <v>22.062378</v>
      </c>
      <c r="M21" s="0" t="inlineStr">
        <is>
          <t xml:space="preserve">cliente (RTT)</t>
        </is>
      </c>
      <c r="N21" s="3">
        <v>16471.132895</v>
      </c>
      <c r="O21" s="3">
        <v>12444.413438</v>
      </c>
      <c r="P21" s="3">
        <v>16471.132895</v>
      </c>
      <c r="Q21" s="3">
        <v>16471.132895</v>
      </c>
      <c r="R21" s="2">
        <v>2560.0</v>
      </c>
      <c r="S21" s="3">
        <v>100.0</v>
      </c>
      <c r="T21" s="4">
        <v>3.796052</v>
      </c>
      <c r="U21" s="4">
        <v>4.432481</v>
      </c>
      <c r="V21" s="3">
        <v>249.32678</v>
      </c>
      <c r="W21" s="3">
        <v>11.176148</v>
      </c>
      <c r="X21" s="2">
        <v>0.0</v>
      </c>
      <c r="Y21" s="3"/>
      <c r="Z21" s="3">
        <v>388.674843</v>
      </c>
      <c r="AA21" s="3">
        <v>4.132812</v>
      </c>
    </row>
  </sheetData>
</worksheet>
</file>